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Fobes\Assessment\"/>
    </mc:Choice>
  </mc:AlternateContent>
  <xr:revisionPtr revIDLastSave="0" documentId="8_{40B53B2F-22FD-43EE-AF24-F753C0000F2E}" xr6:coauthVersionLast="47" xr6:coauthVersionMax="47" xr10:uidLastSave="{00000000-0000-0000-0000-000000000000}"/>
  <bookViews>
    <workbookView xWindow="-108" yWindow="-108" windowWidth="23256" windowHeight="12456" xr2:uid="{A6971390-4932-4378-81C2-9DAD2202FDAB}"/>
  </bookViews>
  <sheets>
    <sheet name="funnel_events" sheetId="1" r:id="rId1"/>
    <sheet name="Assessment1" sheetId="6" r:id="rId2"/>
    <sheet name="Assessment2" sheetId="3" r:id="rId3"/>
    <sheet name="Segment Compare" sheetId="7" r:id="rId4"/>
  </sheets>
  <definedNames>
    <definedName name="_xlchart.v2.0" hidden="1">funnel_events!$A$2:$A$6</definedName>
    <definedName name="_xlchart.v2.1" hidden="1">funnel_events!$B$1</definedName>
    <definedName name="_xlchart.v2.2" hidden="1">funnel_events!$B$2:$B$6</definedName>
    <definedName name="_xlchart.v2.3" hidden="1">funnel_events!$A$2:$A$6</definedName>
    <definedName name="_xlchart.v2.4" hidden="1">funnel_events!$B$1</definedName>
    <definedName name="_xlchart.v2.5" hidden="1">funnel_events!$B$2:$B$6</definedName>
  </definedNames>
  <calcPr calcId="0"/>
  <pivotCaches>
    <pivotCache cacheId="8" r:id="rId5"/>
    <pivotCache cacheId="14" r:id="rId6"/>
  </pivotCaches>
</workbook>
</file>

<file path=xl/calcChain.xml><?xml version="1.0" encoding="utf-8"?>
<calcChain xmlns="http://schemas.openxmlformats.org/spreadsheetml/2006/main">
  <c r="E2" i="1" l="1"/>
  <c r="D6" i="1"/>
  <c r="D5" i="1"/>
  <c r="D4" i="1"/>
  <c r="D3" i="1"/>
  <c r="D2" i="1"/>
  <c r="C6" i="1"/>
  <c r="C5" i="1"/>
  <c r="C4" i="1"/>
  <c r="C3" i="1"/>
  <c r="C2" i="1"/>
  <c r="G2" i="3"/>
  <c r="F4" i="3"/>
  <c r="F3" i="3"/>
  <c r="F2"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3" i="3"/>
  <c r="E4" i="3"/>
  <c r="E5" i="3"/>
  <c r="E6" i="3"/>
  <c r="E7" i="3"/>
  <c r="E8" i="3"/>
  <c r="E9" i="3"/>
  <c r="E10" i="3"/>
  <c r="E11" i="3"/>
  <c r="E12" i="3"/>
  <c r="E13" i="3"/>
  <c r="E14" i="3"/>
  <c r="E2" i="3"/>
  <c r="F8" i="7"/>
  <c r="F7" i="7"/>
  <c r="F6" i="7"/>
  <c r="E9" i="7"/>
  <c r="E7" i="7"/>
  <c r="E6" i="7"/>
</calcChain>
</file>

<file path=xl/sharedStrings.xml><?xml version="1.0" encoding="utf-8"?>
<sst xmlns="http://schemas.openxmlformats.org/spreadsheetml/2006/main" count="1129" uniqueCount="228">
  <si>
    <t>Row Labels</t>
  </si>
  <si>
    <t>Count of user_id</t>
  </si>
  <si>
    <t>Conversion Rate</t>
  </si>
  <si>
    <t>Drop-Off</t>
  </si>
  <si>
    <t>Biggest Drop-off</t>
  </si>
  <si>
    <t>visited_site</t>
  </si>
  <si>
    <t>details_filled</t>
  </si>
  <si>
    <t>signup_started</t>
  </si>
  <si>
    <t>email_verified</t>
  </si>
  <si>
    <t>purchase_completed</t>
  </si>
  <si>
    <t>Question 3: Biggest drop-off occurs between signup-started and details_filled</t>
  </si>
  <si>
    <t>Bonus 5 : The analysis shows that the highest user drop-off occurs between signup_started and details_filled. This suggests that users may be experiencing difficulty during the form completion stage. Simplifying the signup form, minimizing required information, and improving the overall user experience with better guidance and validation could help reduce drop-offs and increase conversions.</t>
  </si>
  <si>
    <t>user_id</t>
  </si>
  <si>
    <t>step</t>
  </si>
  <si>
    <t>timestamp</t>
  </si>
  <si>
    <t>U109</t>
  </si>
  <si>
    <t>U183</t>
  </si>
  <si>
    <t>U005</t>
  </si>
  <si>
    <t>U141</t>
  </si>
  <si>
    <t>U027</t>
  </si>
  <si>
    <t>U061</t>
  </si>
  <si>
    <t>U033</t>
  </si>
  <si>
    <t>U064</t>
  </si>
  <si>
    <t>U107</t>
  </si>
  <si>
    <t>U045</t>
  </si>
  <si>
    <t>U103</t>
  </si>
  <si>
    <t>U136</t>
  </si>
  <si>
    <t>U186</t>
  </si>
  <si>
    <t>U147</t>
  </si>
  <si>
    <t>U044</t>
  </si>
  <si>
    <t>U063</t>
  </si>
  <si>
    <t>U004</t>
  </si>
  <si>
    <t>U137</t>
  </si>
  <si>
    <t>U007</t>
  </si>
  <si>
    <t>U008</t>
  </si>
  <si>
    <t>U131</t>
  </si>
  <si>
    <t>U178</t>
  </si>
  <si>
    <t>U155</t>
  </si>
  <si>
    <t>U035</t>
  </si>
  <si>
    <t>U132</t>
  </si>
  <si>
    <t>U042</t>
  </si>
  <si>
    <t>U057</t>
  </si>
  <si>
    <t>U074</t>
  </si>
  <si>
    <t>U126</t>
  </si>
  <si>
    <t>U038</t>
  </si>
  <si>
    <t>U059</t>
  </si>
  <si>
    <t>U021</t>
  </si>
  <si>
    <t>U162</t>
  </si>
  <si>
    <t>U018</t>
  </si>
  <si>
    <t>U048</t>
  </si>
  <si>
    <t>U019</t>
  </si>
  <si>
    <t>U196</t>
  </si>
  <si>
    <t>U015</t>
  </si>
  <si>
    <t>U153</t>
  </si>
  <si>
    <t>U194</t>
  </si>
  <si>
    <t>U030</t>
  </si>
  <si>
    <t>U039</t>
  </si>
  <si>
    <t>U195</t>
  </si>
  <si>
    <t>U066</t>
  </si>
  <si>
    <t>U148</t>
  </si>
  <si>
    <t>U006</t>
  </si>
  <si>
    <t>U060</t>
  </si>
  <si>
    <t>U011</t>
  </si>
  <si>
    <t>U125</t>
  </si>
  <si>
    <t>U040</t>
  </si>
  <si>
    <t>U012</t>
  </si>
  <si>
    <t>U078</t>
  </si>
  <si>
    <t>U106</t>
  </si>
  <si>
    <t>U022</t>
  </si>
  <si>
    <t>U146</t>
  </si>
  <si>
    <t>U026</t>
  </si>
  <si>
    <t>U104</t>
  </si>
  <si>
    <t>U017</t>
  </si>
  <si>
    <t>U187</t>
  </si>
  <si>
    <t>U034</t>
  </si>
  <si>
    <t>U138</t>
  </si>
  <si>
    <t>U076</t>
  </si>
  <si>
    <t>U032</t>
  </si>
  <si>
    <t>U145</t>
  </si>
  <si>
    <t>U083</t>
  </si>
  <si>
    <t>U073</t>
  </si>
  <si>
    <t>U157</t>
  </si>
  <si>
    <t>U077</t>
  </si>
  <si>
    <t>U069</t>
  </si>
  <si>
    <t>U122</t>
  </si>
  <si>
    <t>U037</t>
  </si>
  <si>
    <t>U065</t>
  </si>
  <si>
    <t>U036</t>
  </si>
  <si>
    <t>U041</t>
  </si>
  <si>
    <t>U053</t>
  </si>
  <si>
    <t>U152</t>
  </si>
  <si>
    <t>U177</t>
  </si>
  <si>
    <t>U070</t>
  </si>
  <si>
    <t>U043</t>
  </si>
  <si>
    <t>U192</t>
  </si>
  <si>
    <t>U188</t>
  </si>
  <si>
    <t>U170</t>
  </si>
  <si>
    <t>U179</t>
  </si>
  <si>
    <t>U028</t>
  </si>
  <si>
    <t>U097</t>
  </si>
  <si>
    <t>U139</t>
  </si>
  <si>
    <t>U081</t>
  </si>
  <si>
    <t>U024</t>
  </si>
  <si>
    <t>U014</t>
  </si>
  <si>
    <t>U029</t>
  </si>
  <si>
    <t>U116</t>
  </si>
  <si>
    <t>U092</t>
  </si>
  <si>
    <t>U096</t>
  </si>
  <si>
    <t>U163</t>
  </si>
  <si>
    <t>U062</t>
  </si>
  <si>
    <t>U110</t>
  </si>
  <si>
    <t>U184</t>
  </si>
  <si>
    <t>U164</t>
  </si>
  <si>
    <t>U128</t>
  </si>
  <si>
    <t>U100</t>
  </si>
  <si>
    <t>U080</t>
  </si>
  <si>
    <t>U121</t>
  </si>
  <si>
    <t>U087</t>
  </si>
  <si>
    <t>U105</t>
  </si>
  <si>
    <t>U120</t>
  </si>
  <si>
    <t>U115</t>
  </si>
  <si>
    <t>U085</t>
  </si>
  <si>
    <t>U075</t>
  </si>
  <si>
    <t>U009</t>
  </si>
  <si>
    <t>U051</t>
  </si>
  <si>
    <t>U133</t>
  </si>
  <si>
    <t>U119</t>
  </si>
  <si>
    <t>U151</t>
  </si>
  <si>
    <t>U108</t>
  </si>
  <si>
    <t>U118</t>
  </si>
  <si>
    <t>U056</t>
  </si>
  <si>
    <t>U003</t>
  </si>
  <si>
    <t>U016</t>
  </si>
  <si>
    <t>U180</t>
  </si>
  <si>
    <t>U079</t>
  </si>
  <si>
    <t>U072</t>
  </si>
  <si>
    <t>U095</t>
  </si>
  <si>
    <t>U082</t>
  </si>
  <si>
    <t>U088</t>
  </si>
  <si>
    <t>U200</t>
  </si>
  <si>
    <t>U174</t>
  </si>
  <si>
    <t>U134</t>
  </si>
  <si>
    <t>U161</t>
  </si>
  <si>
    <t>U123</t>
  </si>
  <si>
    <t>U093</t>
  </si>
  <si>
    <t>U129</t>
  </si>
  <si>
    <t>U071</t>
  </si>
  <si>
    <t>U114</t>
  </si>
  <si>
    <t>U185</t>
  </si>
  <si>
    <t>U165</t>
  </si>
  <si>
    <t>U190</t>
  </si>
  <si>
    <t>U099</t>
  </si>
  <si>
    <t>U127</t>
  </si>
  <si>
    <t>U166</t>
  </si>
  <si>
    <t>U020</t>
  </si>
  <si>
    <t>U198</t>
  </si>
  <si>
    <t>U090</t>
  </si>
  <si>
    <t>U052</t>
  </si>
  <si>
    <t>U068</t>
  </si>
  <si>
    <t>U169</t>
  </si>
  <si>
    <t>U089</t>
  </si>
  <si>
    <t>U050</t>
  </si>
  <si>
    <t>U001</t>
  </si>
  <si>
    <t>U156</t>
  </si>
  <si>
    <t>U140</t>
  </si>
  <si>
    <t>U171</t>
  </si>
  <si>
    <t>U159</t>
  </si>
  <si>
    <t>U031</t>
  </si>
  <si>
    <t>U181</t>
  </si>
  <si>
    <t>U175</t>
  </si>
  <si>
    <t>U067</t>
  </si>
  <si>
    <t>U150</t>
  </si>
  <si>
    <t>U176</t>
  </si>
  <si>
    <t>U167</t>
  </si>
  <si>
    <t>U058</t>
  </si>
  <si>
    <t>U135</t>
  </si>
  <si>
    <t>U023</t>
  </si>
  <si>
    <t>U086</t>
  </si>
  <si>
    <t>U091</t>
  </si>
  <si>
    <t>U101</t>
  </si>
  <si>
    <t>U149</t>
  </si>
  <si>
    <t>U142</t>
  </si>
  <si>
    <t>U160</t>
  </si>
  <si>
    <t>U002</t>
  </si>
  <si>
    <t>U193</t>
  </si>
  <si>
    <t>U013</t>
  </si>
  <si>
    <t>U117</t>
  </si>
  <si>
    <t>U189</t>
  </si>
  <si>
    <t>U113</t>
  </si>
  <si>
    <t>U084</t>
  </si>
  <si>
    <t>U054</t>
  </si>
  <si>
    <t>U124</t>
  </si>
  <si>
    <t>U130</t>
  </si>
  <si>
    <t>U199</t>
  </si>
  <si>
    <t>U046</t>
  </si>
  <si>
    <t>U112</t>
  </si>
  <si>
    <t>U049</t>
  </si>
  <si>
    <t>U197</t>
  </si>
  <si>
    <t>U173</t>
  </si>
  <si>
    <t>U102</t>
  </si>
  <si>
    <t>U111</t>
  </si>
  <si>
    <t>U047</t>
  </si>
  <si>
    <t>U191</t>
  </si>
  <si>
    <t>U010</t>
  </si>
  <si>
    <t>U182</t>
  </si>
  <si>
    <t>U098</t>
  </si>
  <si>
    <t>U094</t>
  </si>
  <si>
    <t>U025</t>
  </si>
  <si>
    <t>U168</t>
  </si>
  <si>
    <t>U158</t>
  </si>
  <si>
    <t>U144</t>
  </si>
  <si>
    <t>U055</t>
  </si>
  <si>
    <t>U143</t>
  </si>
  <si>
    <t>U154</t>
  </si>
  <si>
    <t>U172</t>
  </si>
  <si>
    <t>Time to Convert</t>
  </si>
  <si>
    <t>Segment  Comparision</t>
  </si>
  <si>
    <t>s</t>
  </si>
  <si>
    <t>Column1</t>
  </si>
  <si>
    <t>Average</t>
  </si>
  <si>
    <t>Grand Total</t>
  </si>
  <si>
    <t>Column Labels</t>
  </si>
  <si>
    <t>Segment A</t>
  </si>
  <si>
    <t>Segment B</t>
  </si>
  <si>
    <t>SegmentA Conversion</t>
  </si>
  <si>
    <t>SegmentB Conversion</t>
  </si>
  <si>
    <t>N/A</t>
  </si>
  <si>
    <t>Conclusion: Users were divided into Segment A (U001–U100) and Segment B (U101–U200) to compare their funnel performance. Segment A achieved a 100% conversion rate from visited_site to signup_started, while Segment B achieved 50%. In the next stage, Segment B showed a 100% conversion rate from signup_started to details_filled, compared to 46% for Segment A. However, the later stages contain N/A values because some users skip intermediate steps in the dataset, making those conversion rates unsuitable for direct comparison. Therefore, the comparison is most reliable for the initial stages of the funnel, where Segment A performs better at attracting users to begin the signup process, while Segment B performs better at converting users from signup to completing their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</si>
</sst>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0" fontId="0" fillId="0" borderId="0" xfId="0" applyNumberFormat="1"/>
    <xf numFmtId="21"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horizontal="right"/>
    </xf>
    <xf numFmtId="0" fontId="0" fillId="0" borderId="0" xfId="0" applyFont="1"/>
    <xf numFmtId="0" fontId="0"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26" formatCode="h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DD52-466A-8BCD-3E11B5883285}">
          <cx:tx>
            <cx:txData>
              <cx:f>_xlchart.v2.1</cx:f>
              <cx:v>Count of user_id</cx:v>
            </cx:txData>
          </cx:tx>
          <cx:dataLabels>
            <cx:visibility seriesName="0" categoryName="0" value="1"/>
          </cx:dataLabels>
          <cx:dataId val="0"/>
        </cx:series>
      </cx:plotAreaRegion>
      <cx:axis id="1">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289560</xdr:colOff>
      <xdr:row>0</xdr:row>
      <xdr:rowOff>80010</xdr:rowOff>
    </xdr:from>
    <xdr:to>
      <xdr:col>14</xdr:col>
      <xdr:colOff>594360</xdr:colOff>
      <xdr:row>15</xdr:row>
      <xdr:rowOff>80010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B3DD736-B7BD-5DC2-D458-D7E1245B26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09360" y="80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k Das" refreshedDate="46230.14540671296" createdVersion="8" refreshedVersion="8" minRefreshableVersion="3" recordCount="542" xr:uid="{4B673516-533A-42A2-968A-256B7017A7F8}">
  <cacheSource type="worksheet">
    <worksheetSource name="Table1"/>
  </cacheSource>
  <cacheFields count="4">
    <cacheField name="user_id" numFmtId="0">
      <sharedItems count="200">
        <s v="U001"/>
        <s v="U002"/>
        <s v="U003"/>
        <s v="U004"/>
        <s v="U005"/>
        <s v="U006"/>
        <s v="U007"/>
        <s v="U008"/>
        <s v="U009"/>
        <s v="U010"/>
        <s v="U011"/>
        <s v="U012"/>
        <s v="U013"/>
        <s v="U014"/>
        <s v="U015"/>
        <s v="U016"/>
        <s v="U017"/>
        <s v="U018"/>
        <s v="U019"/>
        <s v="U020"/>
        <s v="U021"/>
        <s v="U022"/>
        <s v="U023"/>
        <s v="U024"/>
        <s v="U025"/>
        <s v="U026"/>
        <s v="U027"/>
        <s v="U028"/>
        <s v="U029"/>
        <s v="U030"/>
        <s v="U031"/>
        <s v="U032"/>
        <s v="U033"/>
        <s v="U034"/>
        <s v="U035"/>
        <s v="U036"/>
        <s v="U037"/>
        <s v="U038"/>
        <s v="U039"/>
        <s v="U040"/>
        <s v="U041"/>
        <s v="U042"/>
        <s v="U043"/>
        <s v="U044"/>
        <s v="U045"/>
        <s v="U046"/>
        <s v="U047"/>
        <s v="U048"/>
        <s v="U049"/>
        <s v="U050"/>
        <s v="U051"/>
        <s v="U052"/>
        <s v="U053"/>
        <s v="U054"/>
        <s v="U055"/>
        <s v="U056"/>
        <s v="U057"/>
        <s v="U058"/>
        <s v="U059"/>
        <s v="U060"/>
        <s v="U061"/>
        <s v="U062"/>
        <s v="U063"/>
        <s v="U064"/>
        <s v="U065"/>
        <s v="U066"/>
        <s v="U067"/>
        <s v="U068"/>
        <s v="U069"/>
        <s v="U070"/>
        <s v="U071"/>
        <s v="U072"/>
        <s v="U073"/>
        <s v="U074"/>
        <s v="U075"/>
        <s v="U076"/>
        <s v="U077"/>
        <s v="U078"/>
        <s v="U079"/>
        <s v="U080"/>
        <s v="U081"/>
        <s v="U082"/>
        <s v="U083"/>
        <s v="U084"/>
        <s v="U085"/>
        <s v="U086"/>
        <s v="U087"/>
        <s v="U088"/>
        <s v="U089"/>
        <s v="U090"/>
        <s v="U091"/>
        <s v="U092"/>
        <s v="U093"/>
        <s v="U094"/>
        <s v="U095"/>
        <s v="U096"/>
        <s v="U097"/>
        <s v="U098"/>
        <s v="U099"/>
        <s v="U100"/>
        <s v="U101"/>
        <s v="U102"/>
        <s v="U103"/>
        <s v="U104"/>
        <s v="U105"/>
        <s v="U106"/>
        <s v="U107"/>
        <s v="U108"/>
        <s v="U109"/>
        <s v="U110"/>
        <s v="U111"/>
        <s v="U112"/>
        <s v="U113"/>
        <s v="U114"/>
        <s v="U115"/>
        <s v="U116"/>
        <s v="U117"/>
        <s v="U118"/>
        <s v="U119"/>
        <s v="U120"/>
        <s v="U121"/>
        <s v="U122"/>
        <s v="U123"/>
        <s v="U124"/>
        <s v="U125"/>
        <s v="U126"/>
        <s v="U127"/>
        <s v="U128"/>
        <s v="U129"/>
        <s v="U130"/>
        <s v="U131"/>
        <s v="U132"/>
        <s v="U133"/>
        <s v="U134"/>
        <s v="U135"/>
        <s v="U136"/>
        <s v="U137"/>
        <s v="U138"/>
        <s v="U139"/>
        <s v="U140"/>
        <s v="U141"/>
        <s v="U142"/>
        <s v="U143"/>
        <s v="U144"/>
        <s v="U145"/>
        <s v="U146"/>
        <s v="U147"/>
        <s v="U148"/>
        <s v="U149"/>
        <s v="U150"/>
        <s v="U151"/>
        <s v="U152"/>
        <s v="U153"/>
        <s v="U154"/>
        <s v="U155"/>
        <s v="U156"/>
        <s v="U157"/>
        <s v="U158"/>
        <s v="U159"/>
        <s v="U160"/>
        <s v="U161"/>
        <s v="U162"/>
        <s v="U163"/>
        <s v="U164"/>
        <s v="U165"/>
        <s v="U166"/>
        <s v="U167"/>
        <s v="U168"/>
        <s v="U169"/>
        <s v="U170"/>
        <s v="U171"/>
        <s v="U172"/>
        <s v="U173"/>
        <s v="U174"/>
        <s v="U175"/>
        <s v="U176"/>
        <s v="U177"/>
        <s v="U178"/>
        <s v="U179"/>
        <s v="U180"/>
        <s v="U181"/>
        <s v="U182"/>
        <s v="U183"/>
        <s v="U184"/>
        <s v="U185"/>
        <s v="U186"/>
        <s v="U187"/>
        <s v="U188"/>
        <s v="U189"/>
        <s v="U190"/>
        <s v="U191"/>
        <s v="U192"/>
        <s v="U193"/>
        <s v="U194"/>
        <s v="U195"/>
        <s v="U196"/>
        <s v="U197"/>
        <s v="U198"/>
        <s v="U199"/>
        <s v="U200"/>
      </sharedItems>
    </cacheField>
    <cacheField name="step" numFmtId="0">
      <sharedItems count="5">
        <s v="visited_site"/>
        <s v="signup_started"/>
        <s v="details_filled"/>
        <s v="email_verified"/>
        <s v="purchase_completed"/>
      </sharedItems>
    </cacheField>
    <cacheField name="timestamp" numFmtId="14">
      <sharedItems containsSemiMixedTypes="0" containsNonDate="0" containsDate="1" containsString="0" minDate="2026-07-20T00:00:00" maxDate="2026-07-21T00:00:00"/>
    </cacheField>
    <cacheField name="Column1" numFmtId="21">
      <sharedItems containsSemiMixedTypes="0" containsNonDate="0" containsDate="1" containsString="0" minDate="1899-12-30T03:30:00" maxDate="1899-12-30T05:09: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k Das" refreshedDate="46230.149833564814" createdVersion="8" refreshedVersion="8" minRefreshableVersion="3" recordCount="542" xr:uid="{B3E7D49C-C5F1-4649-86CC-95A6321FF46F}">
  <cacheSource type="worksheet">
    <worksheetSource ref="A1:G543" sheet="Assessment2"/>
  </cacheSource>
  <cacheFields count="7">
    <cacheField name="user_id" numFmtId="0">
      <sharedItems count="200">
        <s v="U001"/>
        <s v="U002"/>
        <s v="U003"/>
        <s v="U004"/>
        <s v="U005"/>
        <s v="U006"/>
        <s v="U007"/>
        <s v="U008"/>
        <s v="U009"/>
        <s v="U010"/>
        <s v="U011"/>
        <s v="U012"/>
        <s v="U013"/>
        <s v="U014"/>
        <s v="U015"/>
        <s v="U016"/>
        <s v="U017"/>
        <s v="U018"/>
        <s v="U019"/>
        <s v="U020"/>
        <s v="U021"/>
        <s v="U022"/>
        <s v="U023"/>
        <s v="U024"/>
        <s v="U025"/>
        <s v="U026"/>
        <s v="U027"/>
        <s v="U028"/>
        <s v="U029"/>
        <s v="U030"/>
        <s v="U031"/>
        <s v="U032"/>
        <s v="U033"/>
        <s v="U034"/>
        <s v="U035"/>
        <s v="U036"/>
        <s v="U037"/>
        <s v="U038"/>
        <s v="U039"/>
        <s v="U040"/>
        <s v="U041"/>
        <s v="U042"/>
        <s v="U043"/>
        <s v="U044"/>
        <s v="U045"/>
        <s v="U046"/>
        <s v="U047"/>
        <s v="U048"/>
        <s v="U049"/>
        <s v="U050"/>
        <s v="U051"/>
        <s v="U052"/>
        <s v="U053"/>
        <s v="U054"/>
        <s v="U055"/>
        <s v="U056"/>
        <s v="U057"/>
        <s v="U058"/>
        <s v="U059"/>
        <s v="U060"/>
        <s v="U061"/>
        <s v="U062"/>
        <s v="U063"/>
        <s v="U064"/>
        <s v="U065"/>
        <s v="U066"/>
        <s v="U067"/>
        <s v="U068"/>
        <s v="U069"/>
        <s v="U070"/>
        <s v="U071"/>
        <s v="U072"/>
        <s v="U073"/>
        <s v="U074"/>
        <s v="U075"/>
        <s v="U076"/>
        <s v="U077"/>
        <s v="U078"/>
        <s v="U079"/>
        <s v="U080"/>
        <s v="U081"/>
        <s v="U082"/>
        <s v="U083"/>
        <s v="U084"/>
        <s v="U085"/>
        <s v="U086"/>
        <s v="U087"/>
        <s v="U088"/>
        <s v="U089"/>
        <s v="U090"/>
        <s v="U091"/>
        <s v="U092"/>
        <s v="U093"/>
        <s v="U094"/>
        <s v="U095"/>
        <s v="U096"/>
        <s v="U097"/>
        <s v="U098"/>
        <s v="U099"/>
        <s v="U100"/>
        <s v="U101"/>
        <s v="U102"/>
        <s v="U103"/>
        <s v="U104"/>
        <s v="U105"/>
        <s v="U106"/>
        <s v="U107"/>
        <s v="U108"/>
        <s v="U109"/>
        <s v="U110"/>
        <s v="U111"/>
        <s v="U112"/>
        <s v="U113"/>
        <s v="U114"/>
        <s v="U115"/>
        <s v="U116"/>
        <s v="U117"/>
        <s v="U118"/>
        <s v="U119"/>
        <s v="U120"/>
        <s v="U121"/>
        <s v="U122"/>
        <s v="U123"/>
        <s v="U124"/>
        <s v="U125"/>
        <s v="U126"/>
        <s v="U127"/>
        <s v="U128"/>
        <s v="U129"/>
        <s v="U130"/>
        <s v="U131"/>
        <s v="U132"/>
        <s v="U133"/>
        <s v="U134"/>
        <s v="U135"/>
        <s v="U136"/>
        <s v="U137"/>
        <s v="U138"/>
        <s v="U139"/>
        <s v="U140"/>
        <s v="U141"/>
        <s v="U142"/>
        <s v="U143"/>
        <s v="U144"/>
        <s v="U145"/>
        <s v="U146"/>
        <s v="U147"/>
        <s v="U148"/>
        <s v="U149"/>
        <s v="U150"/>
        <s v="U151"/>
        <s v="U152"/>
        <s v="U153"/>
        <s v="U154"/>
        <s v="U155"/>
        <s v="U156"/>
        <s v="U157"/>
        <s v="U158"/>
        <s v="U159"/>
        <s v="U160"/>
        <s v="U161"/>
        <s v="U162"/>
        <s v="U163"/>
        <s v="U164"/>
        <s v="U165"/>
        <s v="U166"/>
        <s v="U167"/>
        <s v="U168"/>
        <s v="U169"/>
        <s v="U170"/>
        <s v="U171"/>
        <s v="U172"/>
        <s v="U173"/>
        <s v="U174"/>
        <s v="U175"/>
        <s v="U176"/>
        <s v="U177"/>
        <s v="U178"/>
        <s v="U179"/>
        <s v="U180"/>
        <s v="U181"/>
        <s v="U182"/>
        <s v="U183"/>
        <s v="U184"/>
        <s v="U185"/>
        <s v="U186"/>
        <s v="U187"/>
        <s v="U188"/>
        <s v="U189"/>
        <s v="U190"/>
        <s v="U191"/>
        <s v="U192"/>
        <s v="U193"/>
        <s v="U194"/>
        <s v="U195"/>
        <s v="U196"/>
        <s v="U197"/>
        <s v="U198"/>
        <s v="U199"/>
        <s v="U200"/>
      </sharedItems>
    </cacheField>
    <cacheField name="step" numFmtId="0">
      <sharedItems count="5">
        <s v="visited_site"/>
        <s v="signup_started"/>
        <s v="details_filled"/>
        <s v="email_verified"/>
        <s v="purchase_completed"/>
      </sharedItems>
    </cacheField>
    <cacheField name="timestamp" numFmtId="14">
      <sharedItems containsSemiMixedTypes="0" containsNonDate="0" containsDate="1" containsString="0" minDate="2026-07-20T00:00:00" maxDate="2026-07-21T00:00:00"/>
    </cacheField>
    <cacheField name="Column1" numFmtId="21">
      <sharedItems containsSemiMixedTypes="0" containsNonDate="0" containsDate="1" containsString="0" minDate="1899-12-30T03:30:00" maxDate="1899-12-30T05:09:00"/>
    </cacheField>
    <cacheField name="Segment  Comparision" numFmtId="0">
      <sharedItems count="2">
        <s v="Segment A"/>
        <s v="Segment B"/>
      </sharedItems>
    </cacheField>
    <cacheField name="Time to Convert" numFmtId="0">
      <sharedItems containsNonDate="0" containsDate="1" containsString="0" containsBlank="1" minDate="1899-12-30T00:00:00" maxDate="1899-12-31T00:00:00"/>
    </cacheField>
    <cacheField name="Average" numFmtId="0">
      <sharedItems containsNonDate="0" containsDate="1" containsString="0" containsBlank="1" minDate="1899-12-30T00:16:20" maxDate="1899-12-30T00:16: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x v="0"/>
    <x v="0"/>
    <d v="2026-07-20T00:00:00"/>
    <d v="1899-12-30T03:40:00"/>
  </r>
  <r>
    <x v="0"/>
    <x v="1"/>
    <d v="2026-07-20T00:00:00"/>
    <d v="1899-12-30T04:15:00"/>
  </r>
  <r>
    <x v="0"/>
    <x v="2"/>
    <d v="2026-07-20T00:00:00"/>
    <d v="1899-12-30T04:29:00"/>
  </r>
  <r>
    <x v="1"/>
    <x v="0"/>
    <d v="2026-07-20T00:00:00"/>
    <d v="1899-12-30T03:35:00"/>
  </r>
  <r>
    <x v="1"/>
    <x v="1"/>
    <d v="2026-07-20T00:00:00"/>
    <d v="1899-12-30T04:16:00"/>
  </r>
  <r>
    <x v="1"/>
    <x v="2"/>
    <d v="2026-07-20T00:00:00"/>
    <d v="1899-12-30T04:26:00"/>
  </r>
  <r>
    <x v="2"/>
    <x v="0"/>
    <d v="2026-07-20T00:00:00"/>
    <d v="1899-12-30T03:58:00"/>
  </r>
  <r>
    <x v="2"/>
    <x v="1"/>
    <d v="2026-07-20T00:00:00"/>
    <d v="1899-12-30T04:20:00"/>
  </r>
  <r>
    <x v="2"/>
    <x v="2"/>
    <d v="2026-07-20T00:00:00"/>
    <d v="1899-12-30T04:04:00"/>
  </r>
  <r>
    <x v="3"/>
    <x v="0"/>
    <d v="2026-07-20T00:00:00"/>
    <d v="1899-12-30T04:09:00"/>
  </r>
  <r>
    <x v="3"/>
    <x v="1"/>
    <d v="2026-07-20T00:00:00"/>
    <d v="1899-12-30T04:06:00"/>
  </r>
  <r>
    <x v="3"/>
    <x v="2"/>
    <d v="2026-07-20T00:00:00"/>
    <d v="1899-12-30T04:17:00"/>
  </r>
  <r>
    <x v="4"/>
    <x v="0"/>
    <d v="2026-07-20T00:00:00"/>
    <d v="1899-12-30T03:36:00"/>
  </r>
  <r>
    <x v="4"/>
    <x v="1"/>
    <d v="2026-07-20T00:00:00"/>
    <d v="1899-12-30T03:51:00"/>
  </r>
  <r>
    <x v="4"/>
    <x v="2"/>
    <d v="2026-07-20T00:00:00"/>
    <d v="1899-12-30T04:00:00"/>
  </r>
  <r>
    <x v="5"/>
    <x v="0"/>
    <d v="2026-07-20T00:00:00"/>
    <d v="1899-12-30T03:38:00"/>
  </r>
  <r>
    <x v="5"/>
    <x v="1"/>
    <d v="2026-07-20T00:00:00"/>
    <d v="1899-12-30T03:48:00"/>
  </r>
  <r>
    <x v="5"/>
    <x v="2"/>
    <d v="2026-07-20T00:00:00"/>
    <d v="1899-12-30T04:12:00"/>
  </r>
  <r>
    <x v="6"/>
    <x v="0"/>
    <d v="2026-07-20T00:00:00"/>
    <d v="1899-12-30T04:07:00"/>
  </r>
  <r>
    <x v="6"/>
    <x v="1"/>
    <d v="2026-07-20T00:00:00"/>
    <d v="1899-12-30T03:51:00"/>
  </r>
  <r>
    <x v="6"/>
    <x v="2"/>
    <d v="2026-07-20T00:00:00"/>
    <d v="1899-12-30T04:03:00"/>
  </r>
  <r>
    <x v="7"/>
    <x v="0"/>
    <d v="2026-07-20T00:00:00"/>
    <d v="1899-12-30T03:43:00"/>
  </r>
  <r>
    <x v="7"/>
    <x v="1"/>
    <d v="2026-07-20T00:00:00"/>
    <d v="1899-12-30T03:54:00"/>
  </r>
  <r>
    <x v="7"/>
    <x v="2"/>
    <d v="2026-07-20T00:00:00"/>
    <d v="1899-12-30T04:00:00"/>
  </r>
  <r>
    <x v="8"/>
    <x v="0"/>
    <d v="2026-07-20T00:00:00"/>
    <d v="1899-12-30T03:54:00"/>
  </r>
  <r>
    <x v="8"/>
    <x v="1"/>
    <d v="2026-07-20T00:00:00"/>
    <d v="1899-12-30T04:11:00"/>
  </r>
  <r>
    <x v="8"/>
    <x v="2"/>
    <d v="2026-07-20T00:00:00"/>
    <d v="1899-12-30T04:37:00"/>
  </r>
  <r>
    <x v="9"/>
    <x v="0"/>
    <d v="2026-07-20T00:00:00"/>
    <d v="1899-12-30T03:45:00"/>
  </r>
  <r>
    <x v="9"/>
    <x v="1"/>
    <d v="2026-07-20T00:00:00"/>
    <d v="1899-12-30T04:04:00"/>
  </r>
  <r>
    <x v="9"/>
    <x v="2"/>
    <d v="2026-07-20T00:00:00"/>
    <d v="1899-12-30T04:01:00"/>
  </r>
  <r>
    <x v="10"/>
    <x v="0"/>
    <d v="2026-07-20T00:00:00"/>
    <d v="1899-12-30T04:09:00"/>
  </r>
  <r>
    <x v="10"/>
    <x v="1"/>
    <d v="2026-07-20T00:00:00"/>
    <d v="1899-12-30T03:45:00"/>
  </r>
  <r>
    <x v="10"/>
    <x v="2"/>
    <d v="2026-07-20T00:00:00"/>
    <d v="1899-12-30T04:28:00"/>
  </r>
  <r>
    <x v="11"/>
    <x v="0"/>
    <d v="2026-07-20T00:00:00"/>
    <d v="1899-12-30T04:04:00"/>
  </r>
  <r>
    <x v="11"/>
    <x v="1"/>
    <d v="2026-07-20T00:00:00"/>
    <d v="1899-12-30T04:24:00"/>
  </r>
  <r>
    <x v="11"/>
    <x v="2"/>
    <d v="2026-07-20T00:00:00"/>
    <d v="1899-12-30T04:15:00"/>
  </r>
  <r>
    <x v="12"/>
    <x v="0"/>
    <d v="2026-07-20T00:00:00"/>
    <d v="1899-12-30T04:09:00"/>
  </r>
  <r>
    <x v="12"/>
    <x v="1"/>
    <d v="2026-07-20T00:00:00"/>
    <d v="1899-12-30T04:07:00"/>
  </r>
  <r>
    <x v="12"/>
    <x v="2"/>
    <d v="2026-07-20T00:00:00"/>
    <d v="1899-12-30T04:11:00"/>
  </r>
  <r>
    <x v="13"/>
    <x v="0"/>
    <d v="2026-07-20T00:00:00"/>
    <d v="1899-12-30T03:33:00"/>
  </r>
  <r>
    <x v="13"/>
    <x v="1"/>
    <d v="2026-07-20T00:00:00"/>
    <d v="1899-12-30T04:06:00"/>
  </r>
  <r>
    <x v="13"/>
    <x v="2"/>
    <d v="2026-07-20T00:00:00"/>
    <d v="1899-12-30T04:14:00"/>
  </r>
  <r>
    <x v="14"/>
    <x v="0"/>
    <d v="2026-07-20T00:00:00"/>
    <d v="1899-12-30T03:40:00"/>
  </r>
  <r>
    <x v="14"/>
    <x v="1"/>
    <d v="2026-07-20T00:00:00"/>
    <d v="1899-12-30T04:16:00"/>
  </r>
  <r>
    <x v="14"/>
    <x v="2"/>
    <d v="2026-07-20T00:00:00"/>
    <d v="1899-12-30T04:28:00"/>
  </r>
  <r>
    <x v="15"/>
    <x v="0"/>
    <d v="2026-07-20T00:00:00"/>
    <d v="1899-12-30T03:59:00"/>
  </r>
  <r>
    <x v="15"/>
    <x v="1"/>
    <d v="2026-07-20T00:00:00"/>
    <d v="1899-12-30T03:55:00"/>
  </r>
  <r>
    <x v="15"/>
    <x v="2"/>
    <d v="2026-07-20T00:00:00"/>
    <d v="1899-12-30T04:22:00"/>
  </r>
  <r>
    <x v="16"/>
    <x v="0"/>
    <d v="2026-07-20T00:00:00"/>
    <d v="1899-12-30T03:58:00"/>
  </r>
  <r>
    <x v="16"/>
    <x v="1"/>
    <d v="2026-07-20T00:00:00"/>
    <d v="1899-12-30T04:01:00"/>
  </r>
  <r>
    <x v="16"/>
    <x v="2"/>
    <d v="2026-07-20T00:00:00"/>
    <d v="1899-12-30T04:09:00"/>
  </r>
  <r>
    <x v="17"/>
    <x v="0"/>
    <d v="2026-07-20T00:00:00"/>
    <d v="1899-12-30T04:06:00"/>
  </r>
  <r>
    <x v="17"/>
    <x v="1"/>
    <d v="2026-07-20T00:00:00"/>
    <d v="1899-12-30T03:54:00"/>
  </r>
  <r>
    <x v="17"/>
    <x v="2"/>
    <d v="2026-07-20T00:00:00"/>
    <d v="1899-12-30T04:02:00"/>
  </r>
  <r>
    <x v="18"/>
    <x v="0"/>
    <d v="2026-07-20T00:00:00"/>
    <d v="1899-12-30T04:05:00"/>
  </r>
  <r>
    <x v="18"/>
    <x v="1"/>
    <d v="2026-07-20T00:00:00"/>
    <d v="1899-12-30T03:47:00"/>
  </r>
  <r>
    <x v="18"/>
    <x v="2"/>
    <d v="2026-07-20T00:00:00"/>
    <d v="1899-12-30T04:07:00"/>
  </r>
  <r>
    <x v="19"/>
    <x v="0"/>
    <d v="2026-07-20T00:00:00"/>
    <d v="1899-12-30T03:52:00"/>
  </r>
  <r>
    <x v="19"/>
    <x v="1"/>
    <d v="2026-07-20T00:00:00"/>
    <d v="1899-12-30T04:01:00"/>
  </r>
  <r>
    <x v="19"/>
    <x v="2"/>
    <d v="2026-07-20T00:00:00"/>
    <d v="1899-12-30T04:25:00"/>
  </r>
  <r>
    <x v="20"/>
    <x v="0"/>
    <d v="2026-07-20T00:00:00"/>
    <d v="1899-12-30T03:54:00"/>
  </r>
  <r>
    <x v="20"/>
    <x v="1"/>
    <d v="2026-07-20T00:00:00"/>
    <d v="1899-12-30T04:16:00"/>
  </r>
  <r>
    <x v="20"/>
    <x v="2"/>
    <d v="2026-07-20T00:00:00"/>
    <d v="1899-12-30T04:14:00"/>
  </r>
  <r>
    <x v="21"/>
    <x v="0"/>
    <d v="2026-07-20T00:00:00"/>
    <d v="1899-12-30T03:42:00"/>
  </r>
  <r>
    <x v="21"/>
    <x v="1"/>
    <d v="2026-07-20T00:00:00"/>
    <d v="1899-12-30T03:51:00"/>
  </r>
  <r>
    <x v="21"/>
    <x v="2"/>
    <d v="2026-07-20T00:00:00"/>
    <d v="1899-12-30T04:25:00"/>
  </r>
  <r>
    <x v="22"/>
    <x v="0"/>
    <d v="2026-07-20T00:00:00"/>
    <d v="1899-12-30T03:59:00"/>
  </r>
  <r>
    <x v="22"/>
    <x v="1"/>
    <d v="2026-07-20T00:00:00"/>
    <d v="1899-12-30T03:45:00"/>
  </r>
  <r>
    <x v="22"/>
    <x v="2"/>
    <d v="2026-07-20T00:00:00"/>
    <d v="1899-12-30T04:13:00"/>
  </r>
  <r>
    <x v="23"/>
    <x v="0"/>
    <d v="2026-07-20T00:00:00"/>
    <d v="1899-12-30T03:57:00"/>
  </r>
  <r>
    <x v="23"/>
    <x v="1"/>
    <d v="2026-07-20T00:00:00"/>
    <d v="1899-12-30T04:04:00"/>
  </r>
  <r>
    <x v="23"/>
    <x v="2"/>
    <d v="2026-07-20T00:00:00"/>
    <d v="1899-12-30T04:07:00"/>
  </r>
  <r>
    <x v="24"/>
    <x v="0"/>
    <d v="2026-07-20T00:00:00"/>
    <d v="1899-12-30T03:38:00"/>
  </r>
  <r>
    <x v="24"/>
    <x v="1"/>
    <d v="2026-07-20T00:00:00"/>
    <d v="1899-12-30T04:16:00"/>
  </r>
  <r>
    <x v="24"/>
    <x v="2"/>
    <d v="2026-07-20T00:00:00"/>
    <d v="1899-12-30T04:01:00"/>
  </r>
  <r>
    <x v="25"/>
    <x v="0"/>
    <d v="2026-07-20T00:00:00"/>
    <d v="1899-12-30T03:33:00"/>
  </r>
  <r>
    <x v="25"/>
    <x v="1"/>
    <d v="2026-07-20T00:00:00"/>
    <d v="1899-12-30T04:02:00"/>
  </r>
  <r>
    <x v="25"/>
    <x v="2"/>
    <d v="2026-07-20T00:00:00"/>
    <d v="1899-12-30T04:39:00"/>
  </r>
  <r>
    <x v="26"/>
    <x v="0"/>
    <d v="2026-07-20T00:00:00"/>
    <d v="1899-12-30T03:30:00"/>
  </r>
  <r>
    <x v="26"/>
    <x v="1"/>
    <d v="2026-07-20T00:00:00"/>
    <d v="1899-12-30T04:13:00"/>
  </r>
  <r>
    <x v="26"/>
    <x v="2"/>
    <d v="2026-07-20T00:00:00"/>
    <d v="1899-12-30T04:25:00"/>
  </r>
  <r>
    <x v="27"/>
    <x v="0"/>
    <d v="2026-07-20T00:00:00"/>
    <d v="1899-12-30T03:59:00"/>
  </r>
  <r>
    <x v="27"/>
    <x v="1"/>
    <d v="2026-07-20T00:00:00"/>
    <d v="1899-12-30T03:59:00"/>
  </r>
  <r>
    <x v="27"/>
    <x v="2"/>
    <d v="2026-07-20T00:00:00"/>
    <d v="1899-12-30T04:15:00"/>
  </r>
  <r>
    <x v="28"/>
    <x v="0"/>
    <d v="2026-07-20T00:00:00"/>
    <d v="1899-12-30T03:51:00"/>
  </r>
  <r>
    <x v="28"/>
    <x v="1"/>
    <d v="2026-07-20T00:00:00"/>
    <d v="1899-12-30T04:17:00"/>
  </r>
  <r>
    <x v="28"/>
    <x v="2"/>
    <d v="2026-07-20T00:00:00"/>
    <d v="1899-12-30T04:23:00"/>
  </r>
  <r>
    <x v="29"/>
    <x v="0"/>
    <d v="2026-07-20T00:00:00"/>
    <d v="1899-12-30T03:30:00"/>
  </r>
  <r>
    <x v="29"/>
    <x v="1"/>
    <d v="2026-07-20T00:00:00"/>
    <d v="1899-12-30T04:06:00"/>
  </r>
  <r>
    <x v="29"/>
    <x v="2"/>
    <d v="2026-07-20T00:00:00"/>
    <d v="1899-12-30T04:18:00"/>
  </r>
  <r>
    <x v="30"/>
    <x v="0"/>
    <d v="2026-07-20T00:00:00"/>
    <d v="1899-12-30T04:06:00"/>
  </r>
  <r>
    <x v="30"/>
    <x v="1"/>
    <d v="2026-07-20T00:00:00"/>
    <d v="1899-12-30T04:03:00"/>
  </r>
  <r>
    <x v="30"/>
    <x v="2"/>
    <d v="2026-07-20T00:00:00"/>
    <d v="1899-12-30T04:14:00"/>
  </r>
  <r>
    <x v="31"/>
    <x v="0"/>
    <d v="2026-07-20T00:00:00"/>
    <d v="1899-12-30T03:51:00"/>
  </r>
  <r>
    <x v="31"/>
    <x v="1"/>
    <d v="2026-07-20T00:00:00"/>
    <d v="1899-12-30T04:10:00"/>
  </r>
  <r>
    <x v="31"/>
    <x v="2"/>
    <d v="2026-07-20T00:00:00"/>
    <d v="1899-12-30T04:29:00"/>
  </r>
  <r>
    <x v="32"/>
    <x v="0"/>
    <d v="2026-07-20T00:00:00"/>
    <d v="1899-12-30T03:53:00"/>
  </r>
  <r>
    <x v="32"/>
    <x v="1"/>
    <d v="2026-07-20T00:00:00"/>
    <d v="1899-12-30T03:50:00"/>
  </r>
  <r>
    <x v="32"/>
    <x v="2"/>
    <d v="2026-07-20T00:00:00"/>
    <d v="1899-12-30T04:23:00"/>
  </r>
  <r>
    <x v="33"/>
    <x v="0"/>
    <d v="2026-07-20T00:00:00"/>
    <d v="1899-12-30T03:40:00"/>
  </r>
  <r>
    <x v="33"/>
    <x v="1"/>
    <d v="2026-07-20T00:00:00"/>
    <d v="1899-12-30T04:09:00"/>
  </r>
  <r>
    <x v="33"/>
    <x v="2"/>
    <d v="2026-07-20T00:00:00"/>
    <d v="1899-12-30T04:13:00"/>
  </r>
  <r>
    <x v="34"/>
    <x v="0"/>
    <d v="2026-07-20T00:00:00"/>
    <d v="1899-12-30T03:37:00"/>
  </r>
  <r>
    <x v="34"/>
    <x v="1"/>
    <d v="2026-07-20T00:00:00"/>
    <d v="1899-12-30T04:03:00"/>
  </r>
  <r>
    <x v="34"/>
    <x v="2"/>
    <d v="2026-07-20T00:00:00"/>
    <d v="1899-12-30T04:27:00"/>
  </r>
  <r>
    <x v="35"/>
    <x v="0"/>
    <d v="2026-07-20T00:00:00"/>
    <d v="1899-12-30T03:51:00"/>
  </r>
  <r>
    <x v="35"/>
    <x v="1"/>
    <d v="2026-07-20T00:00:00"/>
    <d v="1899-12-30T03:45:00"/>
  </r>
  <r>
    <x v="35"/>
    <x v="2"/>
    <d v="2026-07-20T00:00:00"/>
    <d v="1899-12-30T04:17:00"/>
  </r>
  <r>
    <x v="36"/>
    <x v="0"/>
    <d v="2026-07-20T00:00:00"/>
    <d v="1899-12-30T04:06:00"/>
  </r>
  <r>
    <x v="36"/>
    <x v="1"/>
    <d v="2026-07-20T00:00:00"/>
    <d v="1899-12-30T04:00:00"/>
  </r>
  <r>
    <x v="36"/>
    <x v="2"/>
    <d v="2026-07-20T00:00:00"/>
    <d v="1899-12-30T04:16:00"/>
  </r>
  <r>
    <x v="37"/>
    <x v="0"/>
    <d v="2026-07-20T00:00:00"/>
    <d v="1899-12-30T03:57:00"/>
  </r>
  <r>
    <x v="37"/>
    <x v="1"/>
    <d v="2026-07-20T00:00:00"/>
    <d v="1899-12-30T04:20:00"/>
  </r>
  <r>
    <x v="37"/>
    <x v="2"/>
    <d v="2026-07-20T00:00:00"/>
    <d v="1899-12-30T04:20:00"/>
  </r>
  <r>
    <x v="38"/>
    <x v="0"/>
    <d v="2026-07-20T00:00:00"/>
    <d v="1899-12-30T03:57:00"/>
  </r>
  <r>
    <x v="38"/>
    <x v="1"/>
    <d v="2026-07-20T00:00:00"/>
    <d v="1899-12-30T04:07:00"/>
  </r>
  <r>
    <x v="38"/>
    <x v="2"/>
    <d v="2026-07-20T00:00:00"/>
    <d v="1899-12-30T04:18:00"/>
  </r>
  <r>
    <x v="39"/>
    <x v="0"/>
    <d v="2026-07-20T00:00:00"/>
    <d v="1899-12-30T03:56:00"/>
  </r>
  <r>
    <x v="39"/>
    <x v="1"/>
    <d v="2026-07-20T00:00:00"/>
    <d v="1899-12-30T03:56:00"/>
  </r>
  <r>
    <x v="39"/>
    <x v="2"/>
    <d v="2026-07-20T00:00:00"/>
    <d v="1899-12-30T04:19:00"/>
  </r>
  <r>
    <x v="40"/>
    <x v="0"/>
    <d v="2026-07-20T00:00:00"/>
    <d v="1899-12-30T04:06:00"/>
  </r>
  <r>
    <x v="40"/>
    <x v="1"/>
    <d v="2026-07-20T00:00:00"/>
    <d v="1899-12-30T03:48:00"/>
  </r>
  <r>
    <x v="40"/>
    <x v="2"/>
    <d v="2026-07-20T00:00:00"/>
    <d v="1899-12-30T04:04:00"/>
  </r>
  <r>
    <x v="41"/>
    <x v="0"/>
    <d v="2026-07-20T00:00:00"/>
    <d v="1899-12-30T03:36:00"/>
  </r>
  <r>
    <x v="41"/>
    <x v="1"/>
    <d v="2026-07-20T00:00:00"/>
    <d v="1899-12-30T04:15:00"/>
  </r>
  <r>
    <x v="41"/>
    <x v="2"/>
    <d v="2026-07-20T00:00:00"/>
    <d v="1899-12-30T04:18:00"/>
  </r>
  <r>
    <x v="42"/>
    <x v="0"/>
    <d v="2026-07-20T00:00:00"/>
    <d v="1899-12-30T03:31:00"/>
  </r>
  <r>
    <x v="42"/>
    <x v="1"/>
    <d v="2026-07-20T00:00:00"/>
    <d v="1899-12-30T04:18:00"/>
  </r>
  <r>
    <x v="42"/>
    <x v="2"/>
    <d v="2026-07-20T00:00:00"/>
    <d v="1899-12-30T04:36:00"/>
  </r>
  <r>
    <x v="43"/>
    <x v="0"/>
    <d v="2026-07-20T00:00:00"/>
    <d v="1899-12-30T03:58:00"/>
  </r>
  <r>
    <x v="43"/>
    <x v="1"/>
    <d v="2026-07-20T00:00:00"/>
    <d v="1899-12-30T04:00:00"/>
  </r>
  <r>
    <x v="43"/>
    <x v="2"/>
    <d v="2026-07-20T00:00:00"/>
    <d v="1899-12-30T04:00:00"/>
  </r>
  <r>
    <x v="44"/>
    <x v="0"/>
    <d v="2026-07-20T00:00:00"/>
    <d v="1899-12-30T03:58:00"/>
  </r>
  <r>
    <x v="44"/>
    <x v="1"/>
    <d v="2026-07-20T00:00:00"/>
    <d v="1899-12-30T03:59:00"/>
  </r>
  <r>
    <x v="44"/>
    <x v="2"/>
    <d v="2026-07-20T00:00:00"/>
    <d v="1899-12-30T04:18:00"/>
  </r>
  <r>
    <x v="45"/>
    <x v="0"/>
    <d v="2026-07-20T00:00:00"/>
    <d v="1899-12-30T03:43:00"/>
  </r>
  <r>
    <x v="45"/>
    <x v="1"/>
    <d v="2026-07-20T00:00:00"/>
    <d v="1899-12-30T03:52:00"/>
  </r>
  <r>
    <x v="45"/>
    <x v="2"/>
    <d v="2026-07-20T00:00:00"/>
    <d v="1899-12-30T04:05:00"/>
  </r>
  <r>
    <x v="46"/>
    <x v="0"/>
    <d v="2026-07-20T00:00:00"/>
    <d v="1899-12-30T03:36:00"/>
  </r>
  <r>
    <x v="46"/>
    <x v="1"/>
    <d v="2026-07-20T00:00:00"/>
    <d v="1899-12-30T03:52:00"/>
  </r>
  <r>
    <x v="46"/>
    <x v="3"/>
    <d v="2026-07-20T00:00:00"/>
    <d v="1899-12-30T04:33:00"/>
  </r>
  <r>
    <x v="47"/>
    <x v="0"/>
    <d v="2026-07-20T00:00:00"/>
    <d v="1899-12-30T03:30:00"/>
  </r>
  <r>
    <x v="47"/>
    <x v="1"/>
    <d v="2026-07-20T00:00:00"/>
    <d v="1899-12-30T03:56:00"/>
  </r>
  <r>
    <x v="47"/>
    <x v="3"/>
    <d v="2026-07-20T00:00:00"/>
    <d v="1899-12-30T04:31:00"/>
  </r>
  <r>
    <x v="48"/>
    <x v="0"/>
    <d v="2026-07-20T00:00:00"/>
    <d v="1899-12-30T03:30:00"/>
  </r>
  <r>
    <x v="48"/>
    <x v="1"/>
    <d v="2026-07-20T00:00:00"/>
    <d v="1899-12-30T04:12:00"/>
  </r>
  <r>
    <x v="48"/>
    <x v="3"/>
    <d v="2026-07-20T00:00:00"/>
    <d v="1899-12-30T04:50:00"/>
  </r>
  <r>
    <x v="49"/>
    <x v="0"/>
    <d v="2026-07-20T00:00:00"/>
    <d v="1899-12-30T03:43:00"/>
  </r>
  <r>
    <x v="49"/>
    <x v="1"/>
    <d v="2026-07-20T00:00:00"/>
    <d v="1899-12-30T03:47:00"/>
  </r>
  <r>
    <x v="49"/>
    <x v="3"/>
    <d v="2026-07-20T00:00:00"/>
    <d v="1899-12-30T04:34:00"/>
  </r>
  <r>
    <x v="50"/>
    <x v="0"/>
    <d v="2026-07-20T00:00:00"/>
    <d v="1899-12-30T03:31:00"/>
  </r>
  <r>
    <x v="50"/>
    <x v="1"/>
    <d v="2026-07-20T00:00:00"/>
    <d v="1899-12-30T03:55:00"/>
  </r>
  <r>
    <x v="50"/>
    <x v="3"/>
    <d v="2026-07-20T00:00:00"/>
    <d v="1899-12-30T04:18:00"/>
  </r>
  <r>
    <x v="51"/>
    <x v="0"/>
    <d v="2026-07-20T00:00:00"/>
    <d v="1899-12-30T04:03:00"/>
  </r>
  <r>
    <x v="51"/>
    <x v="1"/>
    <d v="2026-07-20T00:00:00"/>
    <d v="1899-12-30T04:05:00"/>
  </r>
  <r>
    <x v="51"/>
    <x v="3"/>
    <d v="2026-07-20T00:00:00"/>
    <d v="1899-12-30T04:32:00"/>
  </r>
  <r>
    <x v="52"/>
    <x v="0"/>
    <d v="2026-07-20T00:00:00"/>
    <d v="1899-12-30T04:06:00"/>
  </r>
  <r>
    <x v="52"/>
    <x v="1"/>
    <d v="2026-07-20T00:00:00"/>
    <d v="1899-12-30T03:48:00"/>
  </r>
  <r>
    <x v="52"/>
    <x v="3"/>
    <d v="2026-07-20T00:00:00"/>
    <d v="1899-12-30T04:25:00"/>
  </r>
  <r>
    <x v="53"/>
    <x v="0"/>
    <d v="2026-07-20T00:00:00"/>
    <d v="1899-12-30T04:04:00"/>
  </r>
  <r>
    <x v="53"/>
    <x v="1"/>
    <d v="2026-07-20T00:00:00"/>
    <d v="1899-12-30T04:01:00"/>
  </r>
  <r>
    <x v="53"/>
    <x v="3"/>
    <d v="2026-07-20T00:00:00"/>
    <d v="1899-12-30T04:30:00"/>
  </r>
  <r>
    <x v="54"/>
    <x v="0"/>
    <d v="2026-07-20T00:00:00"/>
    <d v="1899-12-30T03:41:00"/>
  </r>
  <r>
    <x v="54"/>
    <x v="1"/>
    <d v="2026-07-20T00:00:00"/>
    <d v="1899-12-30T03:55:00"/>
  </r>
  <r>
    <x v="54"/>
    <x v="3"/>
    <d v="2026-07-20T00:00:00"/>
    <d v="1899-12-30T04:38:00"/>
  </r>
  <r>
    <x v="55"/>
    <x v="0"/>
    <d v="2026-07-20T00:00:00"/>
    <d v="1899-12-30T03:38:00"/>
  </r>
  <r>
    <x v="55"/>
    <x v="1"/>
    <d v="2026-07-20T00:00:00"/>
    <d v="1899-12-30T04:08:00"/>
  </r>
  <r>
    <x v="55"/>
    <x v="3"/>
    <d v="2026-07-20T00:00:00"/>
    <d v="1899-12-30T04:34:00"/>
  </r>
  <r>
    <x v="56"/>
    <x v="0"/>
    <d v="2026-07-20T00:00:00"/>
    <d v="1899-12-30T04:05:00"/>
  </r>
  <r>
    <x v="56"/>
    <x v="1"/>
    <d v="2026-07-20T00:00:00"/>
    <d v="1899-12-30T04:05:00"/>
  </r>
  <r>
    <x v="56"/>
    <x v="3"/>
    <d v="2026-07-20T00:00:00"/>
    <d v="1899-12-30T04:40:00"/>
  </r>
  <r>
    <x v="57"/>
    <x v="0"/>
    <d v="2026-07-20T00:00:00"/>
    <d v="1899-12-30T03:32:00"/>
  </r>
  <r>
    <x v="57"/>
    <x v="1"/>
    <d v="2026-07-20T00:00:00"/>
    <d v="1899-12-30T04:22:00"/>
  </r>
  <r>
    <x v="57"/>
    <x v="3"/>
    <d v="2026-07-20T00:00:00"/>
    <d v="1899-12-30T04:34:00"/>
  </r>
  <r>
    <x v="58"/>
    <x v="0"/>
    <d v="2026-07-20T00:00:00"/>
    <d v="1899-12-30T03:30:00"/>
  </r>
  <r>
    <x v="58"/>
    <x v="1"/>
    <d v="2026-07-20T00:00:00"/>
    <d v="1899-12-30T03:46:00"/>
  </r>
  <r>
    <x v="58"/>
    <x v="3"/>
    <d v="2026-07-20T00:00:00"/>
    <d v="1899-12-30T04:24:00"/>
  </r>
  <r>
    <x v="59"/>
    <x v="0"/>
    <d v="2026-07-20T00:00:00"/>
    <d v="1899-12-30T03:58:00"/>
  </r>
  <r>
    <x v="59"/>
    <x v="1"/>
    <d v="2026-07-20T00:00:00"/>
    <d v="1899-12-30T04:22:00"/>
  </r>
  <r>
    <x v="59"/>
    <x v="3"/>
    <d v="2026-07-20T00:00:00"/>
    <d v="1899-12-30T04:21:00"/>
  </r>
  <r>
    <x v="60"/>
    <x v="0"/>
    <d v="2026-07-20T00:00:00"/>
    <d v="1899-12-30T04:08:00"/>
  </r>
  <r>
    <x v="60"/>
    <x v="1"/>
    <d v="2026-07-20T00:00:00"/>
    <d v="1899-12-30T04:15:00"/>
  </r>
  <r>
    <x v="60"/>
    <x v="3"/>
    <d v="2026-07-20T00:00:00"/>
    <d v="1899-12-30T04:50:00"/>
  </r>
  <r>
    <x v="61"/>
    <x v="0"/>
    <d v="2026-07-20T00:00:00"/>
    <d v="1899-12-30T03:46:00"/>
  </r>
  <r>
    <x v="61"/>
    <x v="1"/>
    <d v="2026-07-20T00:00:00"/>
    <d v="1899-12-30T04:23:00"/>
  </r>
  <r>
    <x v="61"/>
    <x v="3"/>
    <d v="2026-07-20T00:00:00"/>
    <d v="1899-12-30T04:49:00"/>
  </r>
  <r>
    <x v="62"/>
    <x v="0"/>
    <d v="2026-07-20T00:00:00"/>
    <d v="1899-12-30T03:48:00"/>
  </r>
  <r>
    <x v="62"/>
    <x v="1"/>
    <d v="2026-07-20T00:00:00"/>
    <d v="1899-12-30T03:50:00"/>
  </r>
  <r>
    <x v="62"/>
    <x v="3"/>
    <d v="2026-07-20T00:00:00"/>
    <d v="1899-12-30T04:37:00"/>
  </r>
  <r>
    <x v="63"/>
    <x v="0"/>
    <d v="2026-07-20T00:00:00"/>
    <d v="1899-12-30T03:52:00"/>
  </r>
  <r>
    <x v="63"/>
    <x v="1"/>
    <d v="2026-07-20T00:00:00"/>
    <d v="1899-12-30T04:12:00"/>
  </r>
  <r>
    <x v="63"/>
    <x v="3"/>
    <d v="2026-07-20T00:00:00"/>
    <d v="1899-12-30T04:24:00"/>
  </r>
  <r>
    <x v="64"/>
    <x v="0"/>
    <d v="2026-07-20T00:00:00"/>
    <d v="1899-12-30T03:59:00"/>
  </r>
  <r>
    <x v="64"/>
    <x v="1"/>
    <d v="2026-07-20T00:00:00"/>
    <d v="1899-12-30T04:03:00"/>
  </r>
  <r>
    <x v="64"/>
    <x v="3"/>
    <d v="2026-07-20T00:00:00"/>
    <d v="1899-12-30T04:35:00"/>
  </r>
  <r>
    <x v="65"/>
    <x v="0"/>
    <d v="2026-07-20T00:00:00"/>
    <d v="1899-12-30T04:07:00"/>
  </r>
  <r>
    <x v="65"/>
    <x v="1"/>
    <d v="2026-07-20T00:00:00"/>
    <d v="1899-12-30T03:46:00"/>
  </r>
  <r>
    <x v="65"/>
    <x v="3"/>
    <d v="2026-07-20T00:00:00"/>
    <d v="1899-12-30T04:42:00"/>
  </r>
  <r>
    <x v="66"/>
    <x v="0"/>
    <d v="2026-07-20T00:00:00"/>
    <d v="1899-12-30T03:34:00"/>
  </r>
  <r>
    <x v="66"/>
    <x v="1"/>
    <d v="2026-07-20T00:00:00"/>
    <d v="1899-12-30T03:56:00"/>
  </r>
  <r>
    <x v="66"/>
    <x v="3"/>
    <d v="2026-07-20T00:00:00"/>
    <d v="1899-12-30T04:37:00"/>
  </r>
  <r>
    <x v="67"/>
    <x v="0"/>
    <d v="2026-07-20T00:00:00"/>
    <d v="1899-12-30T04:03:00"/>
  </r>
  <r>
    <x v="67"/>
    <x v="1"/>
    <d v="2026-07-20T00:00:00"/>
    <d v="1899-12-30T03:49:00"/>
  </r>
  <r>
    <x v="67"/>
    <x v="3"/>
    <d v="2026-07-20T00:00:00"/>
    <d v="1899-12-30T04:18:00"/>
  </r>
  <r>
    <x v="68"/>
    <x v="0"/>
    <d v="2026-07-20T00:00:00"/>
    <d v="1899-12-30T03:42:00"/>
  </r>
  <r>
    <x v="68"/>
    <x v="1"/>
    <d v="2026-07-20T00:00:00"/>
    <d v="1899-12-30T04:18:00"/>
  </r>
  <r>
    <x v="68"/>
    <x v="3"/>
    <d v="2026-07-20T00:00:00"/>
    <d v="1899-12-30T04:42:00"/>
  </r>
  <r>
    <x v="69"/>
    <x v="0"/>
    <d v="2026-07-20T00:00:00"/>
    <d v="1899-12-30T04:09:00"/>
  </r>
  <r>
    <x v="69"/>
    <x v="1"/>
    <d v="2026-07-20T00:00:00"/>
    <d v="1899-12-30T03:57:00"/>
  </r>
  <r>
    <x v="69"/>
    <x v="3"/>
    <d v="2026-07-20T00:00:00"/>
    <d v="1899-12-30T04:48:00"/>
  </r>
  <r>
    <x v="70"/>
    <x v="0"/>
    <d v="2026-07-20T00:00:00"/>
    <d v="1899-12-30T03:59:00"/>
  </r>
  <r>
    <x v="70"/>
    <x v="1"/>
    <d v="2026-07-20T00:00:00"/>
    <d v="1899-12-30T03:56:00"/>
  </r>
  <r>
    <x v="70"/>
    <x v="3"/>
    <d v="2026-07-20T00:00:00"/>
    <d v="1899-12-30T04:53:00"/>
  </r>
  <r>
    <x v="71"/>
    <x v="0"/>
    <d v="2026-07-20T00:00:00"/>
    <d v="1899-12-30T03:47:00"/>
  </r>
  <r>
    <x v="71"/>
    <x v="1"/>
    <d v="2026-07-20T00:00:00"/>
    <d v="1899-12-30T04:15:00"/>
  </r>
  <r>
    <x v="71"/>
    <x v="3"/>
    <d v="2026-07-20T00:00:00"/>
    <d v="1899-12-30T04:49:00"/>
  </r>
  <r>
    <x v="72"/>
    <x v="0"/>
    <d v="2026-07-20T00:00:00"/>
    <d v="1899-12-30T03:35:00"/>
  </r>
  <r>
    <x v="72"/>
    <x v="1"/>
    <d v="2026-07-20T00:00:00"/>
    <d v="1899-12-30T04:04:00"/>
  </r>
  <r>
    <x v="72"/>
    <x v="3"/>
    <d v="2026-07-20T00:00:00"/>
    <d v="1899-12-30T04:51:00"/>
  </r>
  <r>
    <x v="73"/>
    <x v="0"/>
    <d v="2026-07-20T00:00:00"/>
    <d v="1899-12-30T03:30:00"/>
  </r>
  <r>
    <x v="73"/>
    <x v="1"/>
    <d v="2026-07-20T00:00:00"/>
    <d v="1899-12-30T03:53:00"/>
  </r>
  <r>
    <x v="73"/>
    <x v="3"/>
    <d v="2026-07-20T00:00:00"/>
    <d v="1899-12-30T04:37:00"/>
  </r>
  <r>
    <x v="74"/>
    <x v="0"/>
    <d v="2026-07-20T00:00:00"/>
    <d v="1899-12-30T04:07:00"/>
  </r>
  <r>
    <x v="74"/>
    <x v="1"/>
    <d v="2026-07-20T00:00:00"/>
    <d v="1899-12-30T03:47:00"/>
  </r>
  <r>
    <x v="74"/>
    <x v="3"/>
    <d v="2026-07-20T00:00:00"/>
    <d v="1899-12-30T04:34:00"/>
  </r>
  <r>
    <x v="75"/>
    <x v="0"/>
    <d v="2026-07-20T00:00:00"/>
    <d v="1899-12-30T03:51:00"/>
  </r>
  <r>
    <x v="75"/>
    <x v="1"/>
    <d v="2026-07-20T00:00:00"/>
    <d v="1899-12-30T04:21:00"/>
  </r>
  <r>
    <x v="75"/>
    <x v="3"/>
    <d v="2026-07-20T00:00:00"/>
    <d v="1899-12-30T04:15:00"/>
  </r>
  <r>
    <x v="76"/>
    <x v="0"/>
    <d v="2026-07-20T00:00:00"/>
    <d v="1899-12-30T03:57:00"/>
  </r>
  <r>
    <x v="76"/>
    <x v="1"/>
    <d v="2026-07-20T00:00:00"/>
    <d v="1899-12-30T03:56:00"/>
  </r>
  <r>
    <x v="76"/>
    <x v="3"/>
    <d v="2026-07-20T00:00:00"/>
    <d v="1899-12-30T04:49:00"/>
  </r>
  <r>
    <x v="77"/>
    <x v="0"/>
    <d v="2026-07-20T00:00:00"/>
    <d v="1899-12-30T04:07:00"/>
  </r>
  <r>
    <x v="77"/>
    <x v="1"/>
    <d v="2026-07-20T00:00:00"/>
    <d v="1899-12-30T03:49:00"/>
  </r>
  <r>
    <x v="77"/>
    <x v="3"/>
    <d v="2026-07-20T00:00:00"/>
    <d v="1899-12-30T04:50:00"/>
  </r>
  <r>
    <x v="78"/>
    <x v="0"/>
    <d v="2026-07-20T00:00:00"/>
    <d v="1899-12-30T03:42:00"/>
  </r>
  <r>
    <x v="78"/>
    <x v="1"/>
    <d v="2026-07-20T00:00:00"/>
    <d v="1899-12-30T04:24:00"/>
  </r>
  <r>
    <x v="78"/>
    <x v="3"/>
    <d v="2026-07-20T00:00:00"/>
    <d v="1899-12-30T04:26:00"/>
  </r>
  <r>
    <x v="79"/>
    <x v="0"/>
    <d v="2026-07-20T00:00:00"/>
    <d v="1899-12-30T03:59:00"/>
  </r>
  <r>
    <x v="79"/>
    <x v="1"/>
    <d v="2026-07-20T00:00:00"/>
    <d v="1899-12-30T04:10:00"/>
  </r>
  <r>
    <x v="79"/>
    <x v="3"/>
    <d v="2026-07-20T00:00:00"/>
    <d v="1899-12-30T04:32:00"/>
  </r>
  <r>
    <x v="80"/>
    <x v="0"/>
    <d v="2026-07-20T00:00:00"/>
    <d v="1899-12-30T03:49:00"/>
  </r>
  <r>
    <x v="80"/>
    <x v="1"/>
    <d v="2026-07-20T00:00:00"/>
    <d v="1899-12-30T04:00:00"/>
  </r>
  <r>
    <x v="80"/>
    <x v="3"/>
    <d v="2026-07-20T00:00:00"/>
    <d v="1899-12-30T04:24:00"/>
  </r>
  <r>
    <x v="81"/>
    <x v="0"/>
    <d v="2026-07-20T00:00:00"/>
    <d v="1899-12-30T03:46:00"/>
  </r>
  <r>
    <x v="81"/>
    <x v="1"/>
    <d v="2026-07-20T00:00:00"/>
    <d v="1899-12-30T04:10:00"/>
  </r>
  <r>
    <x v="81"/>
    <x v="3"/>
    <d v="2026-07-20T00:00:00"/>
    <d v="1899-12-30T04:53:00"/>
  </r>
  <r>
    <x v="82"/>
    <x v="0"/>
    <d v="2026-07-20T00:00:00"/>
    <d v="1899-12-30T04:04:00"/>
  </r>
  <r>
    <x v="82"/>
    <x v="1"/>
    <d v="2026-07-20T00:00:00"/>
    <d v="1899-12-30T03:53:00"/>
  </r>
  <r>
    <x v="82"/>
    <x v="3"/>
    <d v="2026-07-20T00:00:00"/>
    <d v="1899-12-30T04:38:00"/>
  </r>
  <r>
    <x v="83"/>
    <x v="0"/>
    <d v="2026-07-20T00:00:00"/>
    <d v="1899-12-30T03:40:00"/>
  </r>
  <r>
    <x v="83"/>
    <x v="1"/>
    <d v="2026-07-20T00:00:00"/>
    <d v="1899-12-30T04:21:00"/>
  </r>
  <r>
    <x v="83"/>
    <x v="3"/>
    <d v="2026-07-20T00:00:00"/>
    <d v="1899-12-30T04:35:00"/>
  </r>
  <r>
    <x v="84"/>
    <x v="0"/>
    <d v="2026-07-20T00:00:00"/>
    <d v="1899-12-30T04:09:00"/>
  </r>
  <r>
    <x v="84"/>
    <x v="1"/>
    <d v="2026-07-20T00:00:00"/>
    <d v="1899-12-30T04:23:00"/>
  </r>
  <r>
    <x v="84"/>
    <x v="3"/>
    <d v="2026-07-20T00:00:00"/>
    <d v="1899-12-30T04:32:00"/>
  </r>
  <r>
    <x v="85"/>
    <x v="0"/>
    <d v="2026-07-20T00:00:00"/>
    <d v="1899-12-30T04:09:00"/>
  </r>
  <r>
    <x v="85"/>
    <x v="1"/>
    <d v="2026-07-20T00:00:00"/>
    <d v="1899-12-30T04:23:00"/>
  </r>
  <r>
    <x v="85"/>
    <x v="3"/>
    <d v="2026-07-20T00:00:00"/>
    <d v="1899-12-30T04:23:00"/>
  </r>
  <r>
    <x v="86"/>
    <x v="0"/>
    <d v="2026-07-20T00:00:00"/>
    <d v="1899-12-30T03:56:00"/>
  </r>
  <r>
    <x v="86"/>
    <x v="1"/>
    <d v="2026-07-20T00:00:00"/>
    <d v="1899-12-30T03:45:00"/>
  </r>
  <r>
    <x v="86"/>
    <x v="3"/>
    <d v="2026-07-20T00:00:00"/>
    <d v="1899-12-30T04:24:00"/>
  </r>
  <r>
    <x v="87"/>
    <x v="0"/>
    <d v="2026-07-20T00:00:00"/>
    <d v="1899-12-30T03:33:00"/>
  </r>
  <r>
    <x v="87"/>
    <x v="1"/>
    <d v="2026-07-20T00:00:00"/>
    <d v="1899-12-30T04:06:00"/>
  </r>
  <r>
    <x v="87"/>
    <x v="3"/>
    <d v="2026-07-20T00:00:00"/>
    <d v="1899-12-30T04:39:00"/>
  </r>
  <r>
    <x v="88"/>
    <x v="0"/>
    <d v="2026-07-20T00:00:00"/>
    <d v="1899-12-30T04:01:00"/>
  </r>
  <r>
    <x v="88"/>
    <x v="1"/>
    <d v="2026-07-20T00:00:00"/>
    <d v="1899-12-30T04:17:00"/>
  </r>
  <r>
    <x v="88"/>
    <x v="3"/>
    <d v="2026-07-20T00:00:00"/>
    <d v="1899-12-30T04:43:00"/>
  </r>
  <r>
    <x v="89"/>
    <x v="0"/>
    <d v="2026-07-20T00:00:00"/>
    <d v="1899-12-30T04:03:00"/>
  </r>
  <r>
    <x v="89"/>
    <x v="1"/>
    <d v="2026-07-20T00:00:00"/>
    <d v="1899-12-30T04:10:00"/>
  </r>
  <r>
    <x v="89"/>
    <x v="3"/>
    <d v="2026-07-20T00:00:00"/>
    <d v="1899-12-30T04:54:00"/>
  </r>
  <r>
    <x v="90"/>
    <x v="0"/>
    <d v="2026-07-20T00:00:00"/>
    <d v="1899-12-30T03:56:00"/>
  </r>
  <r>
    <x v="90"/>
    <x v="1"/>
    <d v="2026-07-20T00:00:00"/>
    <d v="1899-12-30T04:20:00"/>
  </r>
  <r>
    <x v="90"/>
    <x v="3"/>
    <d v="2026-07-20T00:00:00"/>
    <d v="1899-12-30T04:46:00"/>
  </r>
  <r>
    <x v="91"/>
    <x v="0"/>
    <d v="2026-07-20T00:00:00"/>
    <d v="1899-12-30T03:35:00"/>
  </r>
  <r>
    <x v="91"/>
    <x v="1"/>
    <d v="2026-07-20T00:00:00"/>
    <d v="1899-12-30T03:56:00"/>
  </r>
  <r>
    <x v="91"/>
    <x v="3"/>
    <d v="2026-07-20T00:00:00"/>
    <d v="1899-12-30T04:18:00"/>
  </r>
  <r>
    <x v="92"/>
    <x v="0"/>
    <d v="2026-07-20T00:00:00"/>
    <d v="1899-12-30T03:47:00"/>
  </r>
  <r>
    <x v="92"/>
    <x v="1"/>
    <d v="2026-07-20T00:00:00"/>
    <d v="1899-12-30T04:06:00"/>
  </r>
  <r>
    <x v="92"/>
    <x v="3"/>
    <d v="2026-07-20T00:00:00"/>
    <d v="1899-12-30T04:28:00"/>
  </r>
  <r>
    <x v="93"/>
    <x v="0"/>
    <d v="2026-07-20T00:00:00"/>
    <d v="1899-12-30T03:33:00"/>
  </r>
  <r>
    <x v="93"/>
    <x v="1"/>
    <d v="2026-07-20T00:00:00"/>
    <d v="1899-12-30T04:08:00"/>
  </r>
  <r>
    <x v="93"/>
    <x v="3"/>
    <d v="2026-07-20T00:00:00"/>
    <d v="1899-12-30T04:16:00"/>
  </r>
  <r>
    <x v="94"/>
    <x v="0"/>
    <d v="2026-07-20T00:00:00"/>
    <d v="1899-12-30T03:59:00"/>
  </r>
  <r>
    <x v="94"/>
    <x v="1"/>
    <d v="2026-07-20T00:00:00"/>
    <d v="1899-12-30T04:17:00"/>
  </r>
  <r>
    <x v="94"/>
    <x v="3"/>
    <d v="2026-07-20T00:00:00"/>
    <d v="1899-12-30T04:31:00"/>
  </r>
  <r>
    <x v="95"/>
    <x v="0"/>
    <d v="2026-07-20T00:00:00"/>
    <d v="1899-12-30T03:44:00"/>
  </r>
  <r>
    <x v="95"/>
    <x v="1"/>
    <d v="2026-07-20T00:00:00"/>
    <d v="1899-12-30T04:07:00"/>
  </r>
  <r>
    <x v="95"/>
    <x v="3"/>
    <d v="2026-07-20T00:00:00"/>
    <d v="1899-12-30T04:36:00"/>
  </r>
  <r>
    <x v="96"/>
    <x v="0"/>
    <d v="2026-07-20T00:00:00"/>
    <d v="1899-12-30T03:38:00"/>
  </r>
  <r>
    <x v="96"/>
    <x v="1"/>
    <d v="2026-07-20T00:00:00"/>
    <d v="1899-12-30T04:10:00"/>
  </r>
  <r>
    <x v="96"/>
    <x v="3"/>
    <d v="2026-07-20T00:00:00"/>
    <d v="1899-12-30T04:35:00"/>
  </r>
  <r>
    <x v="97"/>
    <x v="0"/>
    <d v="2026-07-20T00:00:00"/>
    <d v="1899-12-30T04:05:00"/>
  </r>
  <r>
    <x v="97"/>
    <x v="1"/>
    <d v="2026-07-20T00:00:00"/>
    <d v="1899-12-30T04:08:00"/>
  </r>
  <r>
    <x v="97"/>
    <x v="3"/>
    <d v="2026-07-20T00:00:00"/>
    <d v="1899-12-30T04:43:00"/>
  </r>
  <r>
    <x v="98"/>
    <x v="0"/>
    <d v="2026-07-20T00:00:00"/>
    <d v="1899-12-30T03:31:00"/>
  </r>
  <r>
    <x v="98"/>
    <x v="1"/>
    <d v="2026-07-20T00:00:00"/>
    <d v="1899-12-30T03:59:00"/>
  </r>
  <r>
    <x v="98"/>
    <x v="4"/>
    <d v="2026-07-20T00:00:00"/>
    <d v="1899-12-30T04:47:00"/>
  </r>
  <r>
    <x v="99"/>
    <x v="0"/>
    <d v="2026-07-20T00:00:00"/>
    <d v="1899-12-30T03:31:00"/>
  </r>
  <r>
    <x v="99"/>
    <x v="1"/>
    <d v="2026-07-20T00:00:00"/>
    <d v="1899-12-30T04:07:00"/>
  </r>
  <r>
    <x v="99"/>
    <x v="4"/>
    <d v="2026-07-20T00:00:00"/>
    <d v="1899-12-30T05:05:00"/>
  </r>
  <r>
    <x v="100"/>
    <x v="0"/>
    <d v="2026-07-20T00:00:00"/>
    <d v="1899-12-30T03:35:00"/>
  </r>
  <r>
    <x v="100"/>
    <x v="1"/>
    <d v="2026-07-20T00:00:00"/>
    <d v="1899-12-30T04:05:00"/>
  </r>
  <r>
    <x v="100"/>
    <x v="4"/>
    <d v="2026-07-20T00:00:00"/>
    <d v="1899-12-30T04:33:00"/>
  </r>
  <r>
    <x v="101"/>
    <x v="0"/>
    <d v="2026-07-20T00:00:00"/>
    <d v="1899-12-30T03:38:00"/>
  </r>
  <r>
    <x v="101"/>
    <x v="1"/>
    <d v="2026-07-20T00:00:00"/>
    <d v="1899-12-30T04:01:00"/>
  </r>
  <r>
    <x v="101"/>
    <x v="4"/>
    <d v="2026-07-20T00:00:00"/>
    <d v="1899-12-30T04:56:00"/>
  </r>
  <r>
    <x v="102"/>
    <x v="0"/>
    <d v="2026-07-20T00:00:00"/>
    <d v="1899-12-30T03:44:00"/>
  </r>
  <r>
    <x v="102"/>
    <x v="1"/>
    <d v="2026-07-20T00:00:00"/>
    <d v="1899-12-30T04:06:00"/>
  </r>
  <r>
    <x v="102"/>
    <x v="4"/>
    <d v="2026-07-20T00:00:00"/>
    <d v="1899-12-30T04:57:00"/>
  </r>
  <r>
    <x v="103"/>
    <x v="0"/>
    <d v="2026-07-20T00:00:00"/>
    <d v="1899-12-30T03:45:00"/>
  </r>
  <r>
    <x v="103"/>
    <x v="1"/>
    <d v="2026-07-20T00:00:00"/>
    <d v="1899-12-30T03:47:00"/>
  </r>
  <r>
    <x v="103"/>
    <x v="4"/>
    <d v="2026-07-20T00:00:00"/>
    <d v="1899-12-30T04:55:00"/>
  </r>
  <r>
    <x v="104"/>
    <x v="0"/>
    <d v="2026-07-20T00:00:00"/>
    <d v="1899-12-30T03:56:00"/>
  </r>
  <r>
    <x v="104"/>
    <x v="1"/>
    <d v="2026-07-20T00:00:00"/>
    <d v="1899-12-30T04:05:00"/>
  </r>
  <r>
    <x v="104"/>
    <x v="4"/>
    <d v="2026-07-20T00:00:00"/>
    <d v="1899-12-30T04:36:00"/>
  </r>
  <r>
    <x v="105"/>
    <x v="0"/>
    <d v="2026-07-20T00:00:00"/>
    <d v="1899-12-30T04:03:00"/>
  </r>
  <r>
    <x v="105"/>
    <x v="1"/>
    <d v="2026-07-20T00:00:00"/>
    <d v="1899-12-30T04:09:00"/>
  </r>
  <r>
    <x v="105"/>
    <x v="4"/>
    <d v="2026-07-20T00:00:00"/>
    <d v="1899-12-30T04:38:00"/>
  </r>
  <r>
    <x v="106"/>
    <x v="0"/>
    <d v="2026-07-20T00:00:00"/>
    <d v="1899-12-30T03:47:00"/>
  </r>
  <r>
    <x v="106"/>
    <x v="1"/>
    <d v="2026-07-20T00:00:00"/>
    <d v="1899-12-30T03:48:00"/>
  </r>
  <r>
    <x v="106"/>
    <x v="4"/>
    <d v="2026-07-20T00:00:00"/>
    <d v="1899-12-30T04:46:00"/>
  </r>
  <r>
    <x v="107"/>
    <x v="0"/>
    <d v="2026-07-20T00:00:00"/>
    <d v="1899-12-30T03:43:00"/>
  </r>
  <r>
    <x v="107"/>
    <x v="1"/>
    <d v="2026-07-20T00:00:00"/>
    <d v="1899-12-30T03:50:00"/>
  </r>
  <r>
    <x v="107"/>
    <x v="4"/>
    <d v="2026-07-20T00:00:00"/>
    <d v="1899-12-30T04:34:00"/>
  </r>
  <r>
    <x v="108"/>
    <x v="0"/>
    <d v="2026-07-20T00:00:00"/>
    <d v="1899-12-30T03:52:00"/>
  </r>
  <r>
    <x v="108"/>
    <x v="1"/>
    <d v="2026-07-20T00:00:00"/>
    <d v="1899-12-30T04:15:00"/>
  </r>
  <r>
    <x v="108"/>
    <x v="4"/>
    <d v="2026-07-20T00:00:00"/>
    <d v="1899-12-30T04:41:00"/>
  </r>
  <r>
    <x v="109"/>
    <x v="0"/>
    <d v="2026-07-20T00:00:00"/>
    <d v="1899-12-30T03:51:00"/>
  </r>
  <r>
    <x v="109"/>
    <x v="1"/>
    <d v="2026-07-20T00:00:00"/>
    <d v="1899-12-30T03:49:00"/>
  </r>
  <r>
    <x v="109"/>
    <x v="4"/>
    <d v="2026-07-20T00:00:00"/>
    <d v="1899-12-30T04:32:00"/>
  </r>
  <r>
    <x v="110"/>
    <x v="0"/>
    <d v="2026-07-20T00:00:00"/>
    <d v="1899-12-30T04:09:00"/>
  </r>
  <r>
    <x v="110"/>
    <x v="1"/>
    <d v="2026-07-20T00:00:00"/>
    <d v="1899-12-30T04:18:00"/>
  </r>
  <r>
    <x v="110"/>
    <x v="4"/>
    <d v="2026-07-20T00:00:00"/>
    <d v="1899-12-30T05:04:00"/>
  </r>
  <r>
    <x v="111"/>
    <x v="0"/>
    <d v="2026-07-20T00:00:00"/>
    <d v="1899-12-30T03:50:00"/>
  </r>
  <r>
    <x v="111"/>
    <x v="1"/>
    <d v="2026-07-20T00:00:00"/>
    <d v="1899-12-30T04:08:00"/>
  </r>
  <r>
    <x v="111"/>
    <x v="4"/>
    <d v="2026-07-20T00:00:00"/>
    <d v="1899-12-30T04:34:00"/>
  </r>
  <r>
    <x v="112"/>
    <x v="0"/>
    <d v="2026-07-20T00:00:00"/>
    <d v="1899-12-30T03:47:00"/>
  </r>
  <r>
    <x v="112"/>
    <x v="1"/>
    <d v="2026-07-20T00:00:00"/>
    <d v="1899-12-30T04:03:00"/>
  </r>
  <r>
    <x v="112"/>
    <x v="4"/>
    <d v="2026-07-20T00:00:00"/>
    <d v="1899-12-30T05:06:00"/>
  </r>
  <r>
    <x v="113"/>
    <x v="0"/>
    <d v="2026-07-20T00:00:00"/>
    <d v="1899-12-30T03:50:00"/>
  </r>
  <r>
    <x v="113"/>
    <x v="1"/>
    <d v="2026-07-20T00:00:00"/>
    <d v="1899-12-30T04:11:00"/>
  </r>
  <r>
    <x v="113"/>
    <x v="4"/>
    <d v="2026-07-20T00:00:00"/>
    <d v="1899-12-30T05:02:00"/>
  </r>
  <r>
    <x v="114"/>
    <x v="0"/>
    <d v="2026-07-20T00:00:00"/>
    <d v="1899-12-30T04:03:00"/>
  </r>
  <r>
    <x v="114"/>
    <x v="1"/>
    <d v="2026-07-20T00:00:00"/>
    <d v="1899-12-30T03:48:00"/>
  </r>
  <r>
    <x v="114"/>
    <x v="4"/>
    <d v="2026-07-20T00:00:00"/>
    <d v="1899-12-30T04:59:00"/>
  </r>
  <r>
    <x v="115"/>
    <x v="0"/>
    <d v="2026-07-20T00:00:00"/>
    <d v="1899-12-30T03:37:00"/>
  </r>
  <r>
    <x v="115"/>
    <x v="1"/>
    <d v="2026-07-20T00:00:00"/>
    <d v="1899-12-30T04:23:00"/>
  </r>
  <r>
    <x v="115"/>
    <x v="4"/>
    <d v="2026-07-20T00:00:00"/>
    <d v="1899-12-30T04:55:00"/>
  </r>
  <r>
    <x v="116"/>
    <x v="0"/>
    <d v="2026-07-20T00:00:00"/>
    <d v="1899-12-30T03:42:00"/>
  </r>
  <r>
    <x v="116"/>
    <x v="1"/>
    <d v="2026-07-20T00:00:00"/>
    <d v="1899-12-30T04:01:00"/>
  </r>
  <r>
    <x v="116"/>
    <x v="4"/>
    <d v="2026-07-20T00:00:00"/>
    <d v="1899-12-30T04:38:00"/>
  </r>
  <r>
    <x v="117"/>
    <x v="0"/>
    <d v="2026-07-20T00:00:00"/>
    <d v="1899-12-30T03:46:00"/>
  </r>
  <r>
    <x v="117"/>
    <x v="1"/>
    <d v="2026-07-20T00:00:00"/>
    <d v="1899-12-30T03:53:00"/>
  </r>
  <r>
    <x v="117"/>
    <x v="4"/>
    <d v="2026-07-20T00:00:00"/>
    <d v="1899-12-30T04:58:00"/>
  </r>
  <r>
    <x v="118"/>
    <x v="0"/>
    <d v="2026-07-20T00:00:00"/>
    <d v="1899-12-30T04:07:00"/>
  </r>
  <r>
    <x v="118"/>
    <x v="1"/>
    <d v="2026-07-20T00:00:00"/>
    <d v="1899-12-30T04:11:00"/>
  </r>
  <r>
    <x v="118"/>
    <x v="4"/>
    <d v="2026-07-20T00:00:00"/>
    <d v="1899-12-30T04:36:00"/>
  </r>
  <r>
    <x v="119"/>
    <x v="0"/>
    <d v="2026-07-20T00:00:00"/>
    <d v="1899-12-30T03:48:00"/>
  </r>
  <r>
    <x v="119"/>
    <x v="1"/>
    <d v="2026-07-20T00:00:00"/>
    <d v="1899-12-30T04:09:00"/>
  </r>
  <r>
    <x v="119"/>
    <x v="4"/>
    <d v="2026-07-20T00:00:00"/>
    <d v="1899-12-30T04:40:00"/>
  </r>
  <r>
    <x v="120"/>
    <x v="0"/>
    <d v="2026-07-20T00:00:00"/>
    <d v="1899-12-30T04:01:00"/>
  </r>
  <r>
    <x v="120"/>
    <x v="1"/>
    <d v="2026-07-20T00:00:00"/>
    <d v="1899-12-30T04:18:00"/>
  </r>
  <r>
    <x v="120"/>
    <x v="4"/>
    <d v="2026-07-20T00:00:00"/>
    <d v="1899-12-30T04:43:00"/>
  </r>
  <r>
    <x v="121"/>
    <x v="0"/>
    <d v="2026-07-20T00:00:00"/>
    <d v="1899-12-30T03:54:00"/>
  </r>
  <r>
    <x v="121"/>
    <x v="1"/>
    <d v="2026-07-20T00:00:00"/>
    <d v="1899-12-30T04:00:00"/>
  </r>
  <r>
    <x v="121"/>
    <x v="4"/>
    <d v="2026-07-20T00:00:00"/>
    <d v="1899-12-30T04:41:00"/>
  </r>
  <r>
    <x v="122"/>
    <x v="0"/>
    <d v="2026-07-20T00:00:00"/>
    <d v="1899-12-30T03:51:00"/>
  </r>
  <r>
    <x v="122"/>
    <x v="1"/>
    <d v="2026-07-20T00:00:00"/>
    <d v="1899-12-30T03:50:00"/>
  </r>
  <r>
    <x v="122"/>
    <x v="4"/>
    <d v="2026-07-20T00:00:00"/>
    <d v="1899-12-30T05:09:00"/>
  </r>
  <r>
    <x v="123"/>
    <x v="0"/>
    <d v="2026-07-20T00:00:00"/>
    <d v="1899-12-30T03:37:00"/>
  </r>
  <r>
    <x v="123"/>
    <x v="1"/>
    <d v="2026-07-20T00:00:00"/>
    <d v="1899-12-30T03:49:00"/>
  </r>
  <r>
    <x v="123"/>
    <x v="4"/>
    <d v="2026-07-20T00:00:00"/>
    <d v="1899-12-30T04:49:00"/>
  </r>
  <r>
    <x v="124"/>
    <x v="0"/>
    <d v="2026-07-20T00:00:00"/>
    <d v="1899-12-30T03:39:00"/>
  </r>
  <r>
    <x v="124"/>
    <x v="1"/>
    <d v="2026-07-20T00:00:00"/>
    <d v="1899-12-30T03:46:00"/>
  </r>
  <r>
    <x v="124"/>
    <x v="4"/>
    <d v="2026-07-20T00:00:00"/>
    <d v="1899-12-30T04:38:00"/>
  </r>
  <r>
    <x v="125"/>
    <x v="0"/>
    <d v="2026-07-20T00:00:00"/>
    <d v="1899-12-30T03:36:00"/>
  </r>
  <r>
    <x v="125"/>
    <x v="1"/>
    <d v="2026-07-20T00:00:00"/>
    <d v="1899-12-30T04:07:00"/>
  </r>
  <r>
    <x v="125"/>
    <x v="4"/>
    <d v="2026-07-20T00:00:00"/>
    <d v="1899-12-30T05:02:00"/>
  </r>
  <r>
    <x v="126"/>
    <x v="0"/>
    <d v="2026-07-20T00:00:00"/>
    <d v="1899-12-30T03:50:00"/>
  </r>
  <r>
    <x v="126"/>
    <x v="1"/>
    <d v="2026-07-20T00:00:00"/>
    <d v="1899-12-30T03:54:00"/>
  </r>
  <r>
    <x v="126"/>
    <x v="4"/>
    <d v="2026-07-20T00:00:00"/>
    <d v="1899-12-30T04:34:00"/>
  </r>
  <r>
    <x v="127"/>
    <x v="0"/>
    <d v="2026-07-20T00:00:00"/>
    <d v="1899-12-30T04:02:00"/>
  </r>
  <r>
    <x v="127"/>
    <x v="1"/>
    <d v="2026-07-20T00:00:00"/>
    <d v="1899-12-30T04:09:00"/>
  </r>
  <r>
    <x v="127"/>
    <x v="4"/>
    <d v="2026-07-20T00:00:00"/>
    <d v="1899-12-30T05:04:00"/>
  </r>
  <r>
    <x v="128"/>
    <x v="0"/>
    <d v="2026-07-20T00:00:00"/>
    <d v="1899-12-30T03:52:00"/>
  </r>
  <r>
    <x v="128"/>
    <x v="1"/>
    <d v="2026-07-20T00:00:00"/>
    <d v="1899-12-30T03:51:00"/>
  </r>
  <r>
    <x v="128"/>
    <x v="4"/>
    <d v="2026-07-20T00:00:00"/>
    <d v="1899-12-30T04:48:00"/>
  </r>
  <r>
    <x v="129"/>
    <x v="0"/>
    <d v="2026-07-20T00:00:00"/>
    <d v="1899-12-30T03:46:00"/>
  </r>
  <r>
    <x v="129"/>
    <x v="1"/>
    <d v="2026-07-20T00:00:00"/>
    <d v="1899-12-30T03:59:00"/>
  </r>
  <r>
    <x v="129"/>
    <x v="4"/>
    <d v="2026-07-20T00:00:00"/>
    <d v="1899-12-30T04:43:00"/>
  </r>
  <r>
    <x v="130"/>
    <x v="0"/>
    <d v="2026-07-20T00:00:00"/>
    <d v="1899-12-30T04:06:00"/>
  </r>
  <r>
    <x v="130"/>
    <x v="1"/>
    <d v="2026-07-20T00:00:00"/>
    <d v="1899-12-30T04:03:00"/>
  </r>
  <r>
    <x v="130"/>
    <x v="4"/>
    <d v="2026-07-20T00:00:00"/>
    <d v="1899-12-30T04:56:00"/>
  </r>
  <r>
    <x v="131"/>
    <x v="0"/>
    <d v="2026-07-20T00:00:00"/>
    <d v="1899-12-30T03:49:00"/>
  </r>
  <r>
    <x v="131"/>
    <x v="1"/>
    <d v="2026-07-20T00:00:00"/>
    <d v="1899-12-30T04:10:00"/>
  </r>
  <r>
    <x v="131"/>
    <x v="4"/>
    <d v="2026-07-20T00:00:00"/>
    <d v="1899-12-30T04:33:00"/>
  </r>
  <r>
    <x v="132"/>
    <x v="0"/>
    <d v="2026-07-20T00:00:00"/>
    <d v="1899-12-30T03:50:00"/>
  </r>
  <r>
    <x v="132"/>
    <x v="1"/>
    <d v="2026-07-20T00:00:00"/>
    <d v="1899-12-30T03:48:00"/>
  </r>
  <r>
    <x v="132"/>
    <x v="4"/>
    <d v="2026-07-20T00:00:00"/>
    <d v="1899-12-30T04:41:00"/>
  </r>
  <r>
    <x v="133"/>
    <x v="0"/>
    <d v="2026-07-20T00:00:00"/>
    <d v="1899-12-30T03:46:00"/>
  </r>
  <r>
    <x v="133"/>
    <x v="1"/>
    <d v="2026-07-20T00:00:00"/>
    <d v="1899-12-30T03:55:00"/>
  </r>
  <r>
    <x v="133"/>
    <x v="4"/>
    <d v="2026-07-20T00:00:00"/>
    <d v="1899-12-30T04:34:00"/>
  </r>
  <r>
    <x v="134"/>
    <x v="0"/>
    <d v="2026-07-20T00:00:00"/>
    <d v="1899-12-30T04:04:00"/>
  </r>
  <r>
    <x v="134"/>
    <x v="1"/>
    <d v="2026-07-20T00:00:00"/>
    <d v="1899-12-30T03:48:00"/>
  </r>
  <r>
    <x v="134"/>
    <x v="4"/>
    <d v="2026-07-20T00:00:00"/>
    <d v="1899-12-30T04:41:00"/>
  </r>
  <r>
    <x v="135"/>
    <x v="0"/>
    <d v="2026-07-20T00:00:00"/>
    <d v="1899-12-30T03:59:00"/>
  </r>
  <r>
    <x v="135"/>
    <x v="1"/>
    <d v="2026-07-20T00:00:00"/>
    <d v="1899-12-30T04:15:00"/>
  </r>
  <r>
    <x v="135"/>
    <x v="4"/>
    <d v="2026-07-20T00:00:00"/>
    <d v="1899-12-30T04:42:00"/>
  </r>
  <r>
    <x v="136"/>
    <x v="0"/>
    <d v="2026-07-20T00:00:00"/>
    <d v="1899-12-30T03:58:00"/>
  </r>
  <r>
    <x v="136"/>
    <x v="1"/>
    <d v="2026-07-20T00:00:00"/>
    <d v="1899-12-30T04:03:00"/>
  </r>
  <r>
    <x v="136"/>
    <x v="4"/>
    <d v="2026-07-20T00:00:00"/>
    <d v="1899-12-30T04:32:00"/>
  </r>
  <r>
    <x v="137"/>
    <x v="0"/>
    <d v="2026-07-20T00:00:00"/>
    <d v="1899-12-30T04:00:00"/>
  </r>
  <r>
    <x v="137"/>
    <x v="1"/>
    <d v="2026-07-20T00:00:00"/>
    <d v="1899-12-30T04:18:00"/>
  </r>
  <r>
    <x v="137"/>
    <x v="4"/>
    <d v="2026-07-20T00:00:00"/>
    <d v="1899-12-30T04:38:00"/>
  </r>
  <r>
    <x v="138"/>
    <x v="0"/>
    <d v="2026-07-20T00:00:00"/>
    <d v="1899-12-30T03:44:00"/>
  </r>
  <r>
    <x v="138"/>
    <x v="1"/>
    <d v="2026-07-20T00:00:00"/>
    <d v="1899-12-30T04:04:00"/>
  </r>
  <r>
    <x v="138"/>
    <x v="4"/>
    <d v="2026-07-20T00:00:00"/>
    <d v="1899-12-30T04:54:00"/>
  </r>
  <r>
    <x v="139"/>
    <x v="0"/>
    <d v="2026-07-20T00:00:00"/>
    <d v="1899-12-30T03:49:00"/>
  </r>
  <r>
    <x v="139"/>
    <x v="1"/>
    <d v="2026-07-20T00:00:00"/>
    <d v="1899-12-30T04:15:00"/>
  </r>
  <r>
    <x v="139"/>
    <x v="4"/>
    <d v="2026-07-20T00:00:00"/>
    <d v="1899-12-30T04:32:00"/>
  </r>
  <r>
    <x v="140"/>
    <x v="0"/>
    <d v="2026-07-20T00:00:00"/>
    <d v="1899-12-30T03:58:00"/>
  </r>
  <r>
    <x v="140"/>
    <x v="1"/>
    <d v="2026-07-20T00:00:00"/>
    <d v="1899-12-30T03:48:00"/>
  </r>
  <r>
    <x v="140"/>
    <x v="4"/>
    <d v="2026-07-20T00:00:00"/>
    <d v="1899-12-30T04:33:00"/>
  </r>
  <r>
    <x v="141"/>
    <x v="0"/>
    <d v="2026-07-20T00:00:00"/>
    <d v="1899-12-30T04:05:00"/>
  </r>
  <r>
    <x v="141"/>
    <x v="1"/>
    <d v="2026-07-20T00:00:00"/>
    <d v="1899-12-30T03:47:00"/>
  </r>
  <r>
    <x v="141"/>
    <x v="4"/>
    <d v="2026-07-20T00:00:00"/>
    <d v="1899-12-30T04:49:00"/>
  </r>
  <r>
    <x v="142"/>
    <x v="0"/>
    <d v="2026-07-20T00:00:00"/>
    <d v="1899-12-30T03:47:00"/>
  </r>
  <r>
    <x v="142"/>
    <x v="1"/>
    <d v="2026-07-20T00:00:00"/>
    <d v="1899-12-30T03:51:00"/>
  </r>
  <r>
    <x v="143"/>
    <x v="0"/>
    <d v="2026-07-20T00:00:00"/>
    <d v="1899-12-30T04:07:00"/>
  </r>
  <r>
    <x v="143"/>
    <x v="1"/>
    <d v="2026-07-20T00:00:00"/>
    <d v="1899-12-30T04:11:00"/>
  </r>
  <r>
    <x v="144"/>
    <x v="0"/>
    <d v="2026-07-20T00:00:00"/>
    <d v="1899-12-30T03:51:00"/>
  </r>
  <r>
    <x v="144"/>
    <x v="1"/>
    <d v="2026-07-20T00:00:00"/>
    <d v="1899-12-30T03:45:00"/>
  </r>
  <r>
    <x v="145"/>
    <x v="0"/>
    <d v="2026-07-20T00:00:00"/>
    <d v="1899-12-30T03:53:00"/>
  </r>
  <r>
    <x v="145"/>
    <x v="1"/>
    <d v="2026-07-20T00:00:00"/>
    <d v="1899-12-30T03:55:00"/>
  </r>
  <r>
    <x v="146"/>
    <x v="0"/>
    <d v="2026-07-20T00:00:00"/>
    <d v="1899-12-30T03:44:00"/>
  </r>
  <r>
    <x v="146"/>
    <x v="1"/>
    <d v="2026-07-20T00:00:00"/>
    <d v="1899-12-30T04:21:00"/>
  </r>
  <r>
    <x v="147"/>
    <x v="0"/>
    <d v="2026-07-20T00:00:00"/>
    <d v="1899-12-30T03:32:00"/>
  </r>
  <r>
    <x v="147"/>
    <x v="1"/>
    <d v="2026-07-20T00:00:00"/>
    <d v="1899-12-30T04:01:00"/>
  </r>
  <r>
    <x v="148"/>
    <x v="0"/>
    <d v="2026-07-20T00:00:00"/>
    <d v="1899-12-30T03:44:00"/>
  </r>
  <r>
    <x v="148"/>
    <x v="1"/>
    <d v="2026-07-20T00:00:00"/>
    <d v="1899-12-30T04:14:00"/>
  </r>
  <r>
    <x v="149"/>
    <x v="0"/>
    <d v="2026-07-20T00:00:00"/>
    <d v="1899-12-30T03:36:00"/>
  </r>
  <r>
    <x v="149"/>
    <x v="1"/>
    <d v="2026-07-20T00:00:00"/>
    <d v="1899-12-30T03:59:00"/>
  </r>
  <r>
    <x v="150"/>
    <x v="0"/>
    <d v="2026-07-20T00:00:00"/>
    <d v="1899-12-30T03:30:00"/>
  </r>
  <r>
    <x v="150"/>
    <x v="2"/>
    <d v="2026-07-20T00:00:00"/>
    <d v="1899-12-30T04:05:00"/>
  </r>
  <r>
    <x v="151"/>
    <x v="0"/>
    <d v="2026-07-20T00:00:00"/>
    <d v="1899-12-30T03:47:00"/>
  </r>
  <r>
    <x v="151"/>
    <x v="2"/>
    <d v="2026-07-20T00:00:00"/>
    <d v="1899-12-30T04:01:00"/>
  </r>
  <r>
    <x v="152"/>
    <x v="0"/>
    <d v="2026-07-20T00:00:00"/>
    <d v="1899-12-30T03:41:00"/>
  </r>
  <r>
    <x v="152"/>
    <x v="2"/>
    <d v="2026-07-20T00:00:00"/>
    <d v="1899-12-30T04:20:00"/>
  </r>
  <r>
    <x v="153"/>
    <x v="0"/>
    <d v="2026-07-20T00:00:00"/>
    <d v="1899-12-30T03:33:00"/>
  </r>
  <r>
    <x v="153"/>
    <x v="2"/>
    <d v="2026-07-20T00:00:00"/>
    <d v="1899-12-30T04:34:00"/>
  </r>
  <r>
    <x v="154"/>
    <x v="0"/>
    <d v="2026-07-20T00:00:00"/>
    <d v="1899-12-30T03:45:00"/>
  </r>
  <r>
    <x v="154"/>
    <x v="2"/>
    <d v="2026-07-20T00:00:00"/>
    <d v="1899-12-30T04:03:00"/>
  </r>
  <r>
    <x v="155"/>
    <x v="0"/>
    <d v="2026-07-20T00:00:00"/>
    <d v="1899-12-30T03:55:00"/>
  </r>
  <r>
    <x v="155"/>
    <x v="2"/>
    <d v="2026-07-20T00:00:00"/>
    <d v="1899-12-30T04:13:00"/>
  </r>
  <r>
    <x v="156"/>
    <x v="0"/>
    <d v="2026-07-20T00:00:00"/>
    <d v="1899-12-30T03:31:00"/>
  </r>
  <r>
    <x v="156"/>
    <x v="2"/>
    <d v="2026-07-20T00:00:00"/>
    <d v="1899-12-30T04:32:00"/>
  </r>
  <r>
    <x v="157"/>
    <x v="0"/>
    <d v="2026-07-20T00:00:00"/>
    <d v="1899-12-30T03:40:00"/>
  </r>
  <r>
    <x v="157"/>
    <x v="2"/>
    <d v="2026-07-20T00:00:00"/>
    <d v="1899-12-30T04:08:00"/>
  </r>
  <r>
    <x v="158"/>
    <x v="0"/>
    <d v="2026-07-20T00:00:00"/>
    <d v="1899-12-30T03:37:00"/>
  </r>
  <r>
    <x v="158"/>
    <x v="2"/>
    <d v="2026-07-20T00:00:00"/>
    <d v="1899-12-30T04:05:00"/>
  </r>
  <r>
    <x v="159"/>
    <x v="0"/>
    <d v="2026-07-20T00:00:00"/>
    <d v="1899-12-30T03:40:00"/>
  </r>
  <r>
    <x v="159"/>
    <x v="2"/>
    <d v="2026-07-20T00:00:00"/>
    <d v="1899-12-30T04:09:00"/>
  </r>
  <r>
    <x v="160"/>
    <x v="0"/>
    <d v="2026-07-20T00:00:00"/>
    <d v="1899-12-30T03:37:00"/>
  </r>
  <r>
    <x v="160"/>
    <x v="2"/>
    <d v="2026-07-20T00:00:00"/>
    <d v="1899-12-30T04:09:00"/>
  </r>
  <r>
    <x v="161"/>
    <x v="0"/>
    <d v="2026-07-20T00:00:00"/>
    <d v="1899-12-30T04:01:00"/>
  </r>
  <r>
    <x v="161"/>
    <x v="2"/>
    <d v="2026-07-20T00:00:00"/>
    <d v="1899-12-30T04:32:00"/>
  </r>
  <r>
    <x v="162"/>
    <x v="0"/>
    <d v="2026-07-20T00:00:00"/>
    <d v="1899-12-30T03:48:00"/>
  </r>
  <r>
    <x v="162"/>
    <x v="2"/>
    <d v="2026-07-20T00:00:00"/>
    <d v="1899-12-30T04:14:00"/>
  </r>
  <r>
    <x v="163"/>
    <x v="0"/>
    <d v="2026-07-20T00:00:00"/>
    <d v="1899-12-30T03:36:00"/>
  </r>
  <r>
    <x v="163"/>
    <x v="2"/>
    <d v="2026-07-20T00:00:00"/>
    <d v="1899-12-30T04:14:00"/>
  </r>
  <r>
    <x v="164"/>
    <x v="0"/>
    <d v="2026-07-20T00:00:00"/>
    <d v="1899-12-30T03:32:00"/>
  </r>
  <r>
    <x v="164"/>
    <x v="2"/>
    <d v="2026-07-20T00:00:00"/>
    <d v="1899-12-30T04:28:00"/>
  </r>
  <r>
    <x v="165"/>
    <x v="0"/>
    <d v="2026-07-20T00:00:00"/>
    <d v="1899-12-30T03:48:00"/>
  </r>
  <r>
    <x v="165"/>
    <x v="2"/>
    <d v="2026-07-20T00:00:00"/>
    <d v="1899-12-30T04:28:00"/>
  </r>
  <r>
    <x v="166"/>
    <x v="0"/>
    <d v="2026-07-20T00:00:00"/>
    <d v="1899-12-30T03:42:00"/>
  </r>
  <r>
    <x v="166"/>
    <x v="2"/>
    <d v="2026-07-20T00:00:00"/>
    <d v="1899-12-30T04:00:00"/>
  </r>
  <r>
    <x v="167"/>
    <x v="0"/>
    <d v="2026-07-20T00:00:00"/>
    <d v="1899-12-30T04:00:00"/>
  </r>
  <r>
    <x v="167"/>
    <x v="2"/>
    <d v="2026-07-20T00:00:00"/>
    <d v="1899-12-30T04:17:00"/>
  </r>
  <r>
    <x v="168"/>
    <x v="0"/>
    <d v="2026-07-20T00:00:00"/>
    <d v="1899-12-30T04:04:00"/>
  </r>
  <r>
    <x v="168"/>
    <x v="2"/>
    <d v="2026-07-20T00:00:00"/>
    <d v="1899-12-30T04:07:00"/>
  </r>
  <r>
    <x v="169"/>
    <x v="0"/>
    <d v="2026-07-20T00:00:00"/>
    <d v="1899-12-30T04:01:00"/>
  </r>
  <r>
    <x v="169"/>
    <x v="2"/>
    <d v="2026-07-20T00:00:00"/>
    <d v="1899-12-30T04:29:00"/>
  </r>
  <r>
    <x v="170"/>
    <x v="0"/>
    <d v="2026-07-20T00:00:00"/>
    <d v="1899-12-30T03:50:00"/>
  </r>
  <r>
    <x v="170"/>
    <x v="2"/>
    <d v="2026-07-20T00:00:00"/>
    <d v="1899-12-30T04:05:00"/>
  </r>
  <r>
    <x v="171"/>
    <x v="0"/>
    <d v="2026-07-20T00:00:00"/>
    <d v="1899-12-30T03:31:00"/>
  </r>
  <r>
    <x v="171"/>
    <x v="2"/>
    <d v="2026-07-20T00:00:00"/>
    <d v="1899-12-30T04:05:00"/>
  </r>
  <r>
    <x v="172"/>
    <x v="0"/>
    <d v="2026-07-20T00:00:00"/>
    <d v="1899-12-30T04:00:00"/>
  </r>
  <r>
    <x v="172"/>
    <x v="2"/>
    <d v="2026-07-20T00:00:00"/>
    <d v="1899-12-30T04:07:00"/>
  </r>
  <r>
    <x v="173"/>
    <x v="0"/>
    <d v="2026-07-20T00:00:00"/>
    <d v="1899-12-30T03:42:00"/>
  </r>
  <r>
    <x v="173"/>
    <x v="2"/>
    <d v="2026-07-20T00:00:00"/>
    <d v="1899-12-30T04:09:00"/>
  </r>
  <r>
    <x v="174"/>
    <x v="0"/>
    <d v="2026-07-20T00:00:00"/>
    <d v="1899-12-30T03:35:00"/>
  </r>
  <r>
    <x v="174"/>
    <x v="2"/>
    <d v="2026-07-20T00:00:00"/>
    <d v="1899-12-30T04:38:00"/>
  </r>
  <r>
    <x v="175"/>
    <x v="0"/>
    <d v="2026-07-20T00:00:00"/>
    <d v="1899-12-30T03:39:00"/>
  </r>
  <r>
    <x v="175"/>
    <x v="2"/>
    <d v="2026-07-20T00:00:00"/>
    <d v="1899-12-30T04:19:00"/>
  </r>
  <r>
    <x v="176"/>
    <x v="0"/>
    <d v="2026-07-20T00:00:00"/>
    <d v="1899-12-30T03:47:00"/>
  </r>
  <r>
    <x v="176"/>
    <x v="2"/>
    <d v="2026-07-20T00:00:00"/>
    <d v="1899-12-30T04:11:00"/>
  </r>
  <r>
    <x v="177"/>
    <x v="0"/>
    <d v="2026-07-20T00:00:00"/>
    <d v="1899-12-30T03:41:00"/>
  </r>
  <r>
    <x v="177"/>
    <x v="2"/>
    <d v="2026-07-20T00:00:00"/>
    <d v="1899-12-30T04:31:00"/>
  </r>
  <r>
    <x v="178"/>
    <x v="0"/>
    <d v="2026-07-20T00:00:00"/>
    <d v="1899-12-30T04:05:00"/>
  </r>
  <r>
    <x v="178"/>
    <x v="2"/>
    <d v="2026-07-20T00:00:00"/>
    <d v="1899-12-30T04:02:00"/>
  </r>
  <r>
    <x v="179"/>
    <x v="0"/>
    <d v="2026-07-20T00:00:00"/>
    <d v="1899-12-30T03:38:00"/>
  </r>
  <r>
    <x v="179"/>
    <x v="2"/>
    <d v="2026-07-20T00:00:00"/>
    <d v="1899-12-30T04:39:00"/>
  </r>
  <r>
    <x v="180"/>
    <x v="0"/>
    <d v="2026-07-20T00:00:00"/>
    <d v="1899-12-30T03:58:00"/>
  </r>
  <r>
    <x v="180"/>
    <x v="2"/>
    <d v="2026-07-20T00:00:00"/>
    <d v="1899-12-30T04:21:00"/>
  </r>
  <r>
    <x v="181"/>
    <x v="0"/>
    <d v="2026-07-20T00:00:00"/>
    <d v="1899-12-30T04:04:00"/>
  </r>
  <r>
    <x v="181"/>
    <x v="2"/>
    <d v="2026-07-20T00:00:00"/>
    <d v="1899-12-30T04:10:00"/>
  </r>
  <r>
    <x v="182"/>
    <x v="0"/>
    <d v="2026-07-20T00:00:00"/>
    <d v="1899-12-30T03:50:00"/>
  </r>
  <r>
    <x v="182"/>
    <x v="2"/>
    <d v="2026-07-20T00:00:00"/>
    <d v="1899-12-30T04:10:00"/>
  </r>
  <r>
    <x v="183"/>
    <x v="0"/>
    <d v="2026-07-20T00:00:00"/>
    <d v="1899-12-30T03:36:00"/>
  </r>
  <r>
    <x v="183"/>
    <x v="2"/>
    <d v="2026-07-20T00:00:00"/>
    <d v="1899-12-30T04:33:00"/>
  </r>
  <r>
    <x v="184"/>
    <x v="0"/>
    <d v="2026-07-20T00:00:00"/>
    <d v="1899-12-30T04:02:00"/>
  </r>
  <r>
    <x v="184"/>
    <x v="2"/>
    <d v="2026-07-20T00:00:00"/>
    <d v="1899-12-30T04:36:00"/>
  </r>
  <r>
    <x v="185"/>
    <x v="0"/>
    <d v="2026-07-20T00:00:00"/>
    <d v="1899-12-30T03:58:00"/>
  </r>
  <r>
    <x v="185"/>
    <x v="2"/>
    <d v="2026-07-20T00:00:00"/>
    <d v="1899-12-30T04:02:00"/>
  </r>
  <r>
    <x v="186"/>
    <x v="0"/>
    <d v="2026-07-20T00:00:00"/>
    <d v="1899-12-30T04:01:00"/>
  </r>
  <r>
    <x v="186"/>
    <x v="2"/>
    <d v="2026-07-20T00:00:00"/>
    <d v="1899-12-30T04:38:00"/>
  </r>
  <r>
    <x v="187"/>
    <x v="0"/>
    <d v="2026-07-20T00:00:00"/>
    <d v="1899-12-30T03:57:00"/>
  </r>
  <r>
    <x v="187"/>
    <x v="2"/>
    <d v="2026-07-20T00:00:00"/>
    <d v="1899-12-30T04:03:00"/>
  </r>
  <r>
    <x v="188"/>
    <x v="0"/>
    <d v="2026-07-20T00:00:00"/>
    <d v="1899-12-30T03:35:00"/>
  </r>
  <r>
    <x v="188"/>
    <x v="2"/>
    <d v="2026-07-20T00:00:00"/>
    <d v="1899-12-30T04:13:00"/>
  </r>
  <r>
    <x v="189"/>
    <x v="0"/>
    <d v="2026-07-20T00:00:00"/>
    <d v="1899-12-30T03:44:00"/>
  </r>
  <r>
    <x v="189"/>
    <x v="2"/>
    <d v="2026-07-20T00:00:00"/>
    <d v="1899-12-30T04:11:00"/>
  </r>
  <r>
    <x v="190"/>
    <x v="0"/>
    <d v="2026-07-20T00:00:00"/>
    <d v="1899-12-30T04:01:00"/>
  </r>
  <r>
    <x v="190"/>
    <x v="2"/>
    <d v="2026-07-20T00:00:00"/>
    <d v="1899-12-30T04:15:00"/>
  </r>
  <r>
    <x v="191"/>
    <x v="0"/>
    <d v="2026-07-20T00:00:00"/>
    <d v="1899-12-30T03:32:00"/>
  </r>
  <r>
    <x v="191"/>
    <x v="2"/>
    <d v="2026-07-20T00:00:00"/>
    <d v="1899-12-30T04:08:00"/>
  </r>
  <r>
    <x v="192"/>
    <x v="0"/>
    <d v="2026-07-20T00:00:00"/>
    <d v="1899-12-30T03:57:00"/>
  </r>
  <r>
    <x v="192"/>
    <x v="2"/>
    <d v="2026-07-20T00:00:00"/>
    <d v="1899-12-30T04:02:00"/>
  </r>
  <r>
    <x v="193"/>
    <x v="0"/>
    <d v="2026-07-20T00:00:00"/>
    <d v="1899-12-30T03:51:00"/>
  </r>
  <r>
    <x v="193"/>
    <x v="2"/>
    <d v="2026-07-20T00:00:00"/>
    <d v="1899-12-30T04:18:00"/>
  </r>
  <r>
    <x v="194"/>
    <x v="0"/>
    <d v="2026-07-20T00:00:00"/>
    <d v="1899-12-30T03:42:00"/>
  </r>
  <r>
    <x v="194"/>
    <x v="2"/>
    <d v="2026-07-20T00:00:00"/>
    <d v="1899-12-30T04:08:00"/>
  </r>
  <r>
    <x v="195"/>
    <x v="0"/>
    <d v="2026-07-20T00:00:00"/>
    <d v="1899-12-30T04:09:00"/>
  </r>
  <r>
    <x v="195"/>
    <x v="2"/>
    <d v="2026-07-20T00:00:00"/>
    <d v="1899-12-30T04:00:00"/>
  </r>
  <r>
    <x v="196"/>
    <x v="0"/>
    <d v="2026-07-20T00:00:00"/>
    <d v="1899-12-30T03:54:00"/>
  </r>
  <r>
    <x v="196"/>
    <x v="2"/>
    <d v="2026-07-20T00:00:00"/>
    <d v="1899-12-30T04:30:00"/>
  </r>
  <r>
    <x v="197"/>
    <x v="0"/>
    <d v="2026-07-20T00:00:00"/>
    <d v="1899-12-30T03:34:00"/>
  </r>
  <r>
    <x v="197"/>
    <x v="2"/>
    <d v="2026-07-20T00:00:00"/>
    <d v="1899-12-30T04:10:00"/>
  </r>
  <r>
    <x v="198"/>
    <x v="0"/>
    <d v="2026-07-20T00:00:00"/>
    <d v="1899-12-30T03:57:00"/>
  </r>
  <r>
    <x v="198"/>
    <x v="2"/>
    <d v="2026-07-20T00:00:00"/>
    <d v="1899-12-30T04:35:00"/>
  </r>
  <r>
    <x v="199"/>
    <x v="0"/>
    <d v="2026-07-20T00:00:00"/>
    <d v="1899-12-30T03:59:00"/>
  </r>
  <r>
    <x v="199"/>
    <x v="2"/>
    <d v="2026-07-20T00:00:00"/>
    <d v="1899-12-30T04:03: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x v="0"/>
    <x v="0"/>
    <d v="2026-07-20T00:00:00"/>
    <d v="1899-12-30T03:40:00"/>
    <x v="0"/>
    <d v="1899-12-30T00:00:00"/>
    <d v="1899-12-30T00:16:20"/>
  </r>
  <r>
    <x v="0"/>
    <x v="1"/>
    <d v="2026-07-20T00:00:00"/>
    <d v="1899-12-30T04:15:00"/>
    <x v="0"/>
    <d v="1899-12-30T00:35:00"/>
    <m/>
  </r>
  <r>
    <x v="0"/>
    <x v="2"/>
    <d v="2026-07-20T00:00:00"/>
    <d v="1899-12-30T04:29:00"/>
    <x v="0"/>
    <d v="1899-12-30T00:14:00"/>
    <m/>
  </r>
  <r>
    <x v="1"/>
    <x v="0"/>
    <d v="2026-07-20T00:00:00"/>
    <d v="1899-12-30T03:35:00"/>
    <x v="0"/>
    <m/>
    <m/>
  </r>
  <r>
    <x v="1"/>
    <x v="1"/>
    <d v="2026-07-20T00:00:00"/>
    <d v="1899-12-30T04:16:00"/>
    <x v="0"/>
    <m/>
    <m/>
  </r>
  <r>
    <x v="1"/>
    <x v="2"/>
    <d v="2026-07-20T00:00:00"/>
    <d v="1899-12-30T04:26:00"/>
    <x v="0"/>
    <m/>
    <m/>
  </r>
  <r>
    <x v="2"/>
    <x v="0"/>
    <d v="2026-07-20T00:00:00"/>
    <d v="1899-12-30T03:58:00"/>
    <x v="0"/>
    <m/>
    <m/>
  </r>
  <r>
    <x v="2"/>
    <x v="1"/>
    <d v="2026-07-20T00:00:00"/>
    <d v="1899-12-30T04:20:00"/>
    <x v="0"/>
    <m/>
    <m/>
  </r>
  <r>
    <x v="2"/>
    <x v="2"/>
    <d v="2026-07-20T00:00:00"/>
    <d v="1899-12-30T04:04:00"/>
    <x v="0"/>
    <m/>
    <m/>
  </r>
  <r>
    <x v="3"/>
    <x v="0"/>
    <d v="2026-07-20T00:00:00"/>
    <d v="1899-12-30T04:09:00"/>
    <x v="0"/>
    <m/>
    <m/>
  </r>
  <r>
    <x v="3"/>
    <x v="1"/>
    <d v="2026-07-20T00:00:00"/>
    <d v="1899-12-30T04:06:00"/>
    <x v="0"/>
    <m/>
    <m/>
  </r>
  <r>
    <x v="3"/>
    <x v="2"/>
    <d v="2026-07-20T00:00:00"/>
    <d v="1899-12-30T04:17:00"/>
    <x v="0"/>
    <m/>
    <m/>
  </r>
  <r>
    <x v="4"/>
    <x v="0"/>
    <d v="2026-07-20T00:00:00"/>
    <d v="1899-12-30T03:36:00"/>
    <x v="0"/>
    <m/>
    <m/>
  </r>
  <r>
    <x v="4"/>
    <x v="1"/>
    <d v="2026-07-20T00:00:00"/>
    <d v="1899-12-30T03:51:00"/>
    <x v="0"/>
    <m/>
    <m/>
  </r>
  <r>
    <x v="4"/>
    <x v="2"/>
    <d v="2026-07-20T00:00:00"/>
    <d v="1899-12-30T04:00:00"/>
    <x v="0"/>
    <m/>
    <m/>
  </r>
  <r>
    <x v="5"/>
    <x v="0"/>
    <d v="2026-07-20T00:00:00"/>
    <d v="1899-12-30T03:38:00"/>
    <x v="0"/>
    <m/>
    <m/>
  </r>
  <r>
    <x v="5"/>
    <x v="1"/>
    <d v="2026-07-20T00:00:00"/>
    <d v="1899-12-30T03:48:00"/>
    <x v="0"/>
    <m/>
    <m/>
  </r>
  <r>
    <x v="5"/>
    <x v="2"/>
    <d v="2026-07-20T00:00:00"/>
    <d v="1899-12-30T04:12:00"/>
    <x v="0"/>
    <m/>
    <m/>
  </r>
  <r>
    <x v="6"/>
    <x v="0"/>
    <d v="2026-07-20T00:00:00"/>
    <d v="1899-12-30T04:07:00"/>
    <x v="0"/>
    <m/>
    <m/>
  </r>
  <r>
    <x v="6"/>
    <x v="1"/>
    <d v="2026-07-20T00:00:00"/>
    <d v="1899-12-30T03:51:00"/>
    <x v="0"/>
    <m/>
    <m/>
  </r>
  <r>
    <x v="6"/>
    <x v="2"/>
    <d v="2026-07-20T00:00:00"/>
    <d v="1899-12-30T04:03:00"/>
    <x v="0"/>
    <m/>
    <m/>
  </r>
  <r>
    <x v="7"/>
    <x v="0"/>
    <d v="2026-07-20T00:00:00"/>
    <d v="1899-12-30T03:43:00"/>
    <x v="0"/>
    <m/>
    <m/>
  </r>
  <r>
    <x v="7"/>
    <x v="1"/>
    <d v="2026-07-20T00:00:00"/>
    <d v="1899-12-30T03:54:00"/>
    <x v="0"/>
    <m/>
    <m/>
  </r>
  <r>
    <x v="7"/>
    <x v="2"/>
    <d v="2026-07-20T00:00:00"/>
    <d v="1899-12-30T04:00:00"/>
    <x v="0"/>
    <m/>
    <m/>
  </r>
  <r>
    <x v="8"/>
    <x v="0"/>
    <d v="2026-07-20T00:00:00"/>
    <d v="1899-12-30T03:54:00"/>
    <x v="0"/>
    <m/>
    <m/>
  </r>
  <r>
    <x v="8"/>
    <x v="1"/>
    <d v="2026-07-20T00:00:00"/>
    <d v="1899-12-30T04:11:00"/>
    <x v="0"/>
    <m/>
    <m/>
  </r>
  <r>
    <x v="8"/>
    <x v="2"/>
    <d v="2026-07-20T00:00:00"/>
    <d v="1899-12-30T04:37:00"/>
    <x v="0"/>
    <m/>
    <m/>
  </r>
  <r>
    <x v="9"/>
    <x v="0"/>
    <d v="2026-07-20T00:00:00"/>
    <d v="1899-12-30T03:45:00"/>
    <x v="0"/>
    <m/>
    <m/>
  </r>
  <r>
    <x v="9"/>
    <x v="1"/>
    <d v="2026-07-20T00:00:00"/>
    <d v="1899-12-30T04:04:00"/>
    <x v="0"/>
    <m/>
    <m/>
  </r>
  <r>
    <x v="9"/>
    <x v="2"/>
    <d v="2026-07-20T00:00:00"/>
    <d v="1899-12-30T04:01:00"/>
    <x v="0"/>
    <m/>
    <m/>
  </r>
  <r>
    <x v="10"/>
    <x v="0"/>
    <d v="2026-07-20T00:00:00"/>
    <d v="1899-12-30T04:09:00"/>
    <x v="0"/>
    <m/>
    <m/>
  </r>
  <r>
    <x v="10"/>
    <x v="1"/>
    <d v="2026-07-20T00:00:00"/>
    <d v="1899-12-30T03:45:00"/>
    <x v="0"/>
    <m/>
    <m/>
  </r>
  <r>
    <x v="10"/>
    <x v="2"/>
    <d v="2026-07-20T00:00:00"/>
    <d v="1899-12-30T04:28:00"/>
    <x v="0"/>
    <m/>
    <m/>
  </r>
  <r>
    <x v="11"/>
    <x v="0"/>
    <d v="2026-07-20T00:00:00"/>
    <d v="1899-12-30T04:04:00"/>
    <x v="0"/>
    <m/>
    <m/>
  </r>
  <r>
    <x v="11"/>
    <x v="1"/>
    <d v="2026-07-20T00:00:00"/>
    <d v="1899-12-30T04:24:00"/>
    <x v="0"/>
    <m/>
    <m/>
  </r>
  <r>
    <x v="11"/>
    <x v="2"/>
    <d v="2026-07-20T00:00:00"/>
    <d v="1899-12-30T04:15:00"/>
    <x v="0"/>
    <m/>
    <m/>
  </r>
  <r>
    <x v="12"/>
    <x v="0"/>
    <d v="2026-07-20T00:00:00"/>
    <d v="1899-12-30T04:09:00"/>
    <x v="0"/>
    <m/>
    <m/>
  </r>
  <r>
    <x v="12"/>
    <x v="1"/>
    <d v="2026-07-20T00:00:00"/>
    <d v="1899-12-30T04:07:00"/>
    <x v="0"/>
    <m/>
    <m/>
  </r>
  <r>
    <x v="12"/>
    <x v="2"/>
    <d v="2026-07-20T00:00:00"/>
    <d v="1899-12-30T04:11:00"/>
    <x v="0"/>
    <m/>
    <m/>
  </r>
  <r>
    <x v="13"/>
    <x v="0"/>
    <d v="2026-07-20T00:00:00"/>
    <d v="1899-12-30T03:33:00"/>
    <x v="0"/>
    <m/>
    <m/>
  </r>
  <r>
    <x v="13"/>
    <x v="1"/>
    <d v="2026-07-20T00:00:00"/>
    <d v="1899-12-30T04:06:00"/>
    <x v="0"/>
    <m/>
    <m/>
  </r>
  <r>
    <x v="13"/>
    <x v="2"/>
    <d v="2026-07-20T00:00:00"/>
    <d v="1899-12-30T04:14:00"/>
    <x v="0"/>
    <m/>
    <m/>
  </r>
  <r>
    <x v="14"/>
    <x v="0"/>
    <d v="2026-07-20T00:00:00"/>
    <d v="1899-12-30T03:40:00"/>
    <x v="0"/>
    <m/>
    <m/>
  </r>
  <r>
    <x v="14"/>
    <x v="1"/>
    <d v="2026-07-20T00:00:00"/>
    <d v="1899-12-30T04:16:00"/>
    <x v="0"/>
    <m/>
    <m/>
  </r>
  <r>
    <x v="14"/>
    <x v="2"/>
    <d v="2026-07-20T00:00:00"/>
    <d v="1899-12-30T04:28:00"/>
    <x v="0"/>
    <m/>
    <m/>
  </r>
  <r>
    <x v="15"/>
    <x v="0"/>
    <d v="2026-07-20T00:00:00"/>
    <d v="1899-12-30T03:59:00"/>
    <x v="0"/>
    <m/>
    <m/>
  </r>
  <r>
    <x v="15"/>
    <x v="1"/>
    <d v="2026-07-20T00:00:00"/>
    <d v="1899-12-30T03:55:00"/>
    <x v="0"/>
    <m/>
    <m/>
  </r>
  <r>
    <x v="15"/>
    <x v="2"/>
    <d v="2026-07-20T00:00:00"/>
    <d v="1899-12-30T04:22:00"/>
    <x v="0"/>
    <m/>
    <m/>
  </r>
  <r>
    <x v="16"/>
    <x v="0"/>
    <d v="2026-07-20T00:00:00"/>
    <d v="1899-12-30T03:58:00"/>
    <x v="0"/>
    <m/>
    <m/>
  </r>
  <r>
    <x v="16"/>
    <x v="1"/>
    <d v="2026-07-20T00:00:00"/>
    <d v="1899-12-30T04:01:00"/>
    <x v="0"/>
    <m/>
    <m/>
  </r>
  <r>
    <x v="16"/>
    <x v="2"/>
    <d v="2026-07-20T00:00:00"/>
    <d v="1899-12-30T04:09:00"/>
    <x v="0"/>
    <m/>
    <m/>
  </r>
  <r>
    <x v="17"/>
    <x v="0"/>
    <d v="2026-07-20T00:00:00"/>
    <d v="1899-12-30T04:06:00"/>
    <x v="0"/>
    <m/>
    <m/>
  </r>
  <r>
    <x v="17"/>
    <x v="1"/>
    <d v="2026-07-20T00:00:00"/>
    <d v="1899-12-30T03:54:00"/>
    <x v="0"/>
    <m/>
    <m/>
  </r>
  <r>
    <x v="17"/>
    <x v="2"/>
    <d v="2026-07-20T00:00:00"/>
    <d v="1899-12-30T04:02:00"/>
    <x v="0"/>
    <m/>
    <m/>
  </r>
  <r>
    <x v="18"/>
    <x v="0"/>
    <d v="2026-07-20T00:00:00"/>
    <d v="1899-12-30T04:05:00"/>
    <x v="0"/>
    <m/>
    <m/>
  </r>
  <r>
    <x v="18"/>
    <x v="1"/>
    <d v="2026-07-20T00:00:00"/>
    <d v="1899-12-30T03:47:00"/>
    <x v="0"/>
    <m/>
    <m/>
  </r>
  <r>
    <x v="18"/>
    <x v="2"/>
    <d v="2026-07-20T00:00:00"/>
    <d v="1899-12-30T04:07:00"/>
    <x v="0"/>
    <m/>
    <m/>
  </r>
  <r>
    <x v="19"/>
    <x v="0"/>
    <d v="2026-07-20T00:00:00"/>
    <d v="1899-12-30T03:52:00"/>
    <x v="0"/>
    <m/>
    <m/>
  </r>
  <r>
    <x v="19"/>
    <x v="1"/>
    <d v="2026-07-20T00:00:00"/>
    <d v="1899-12-30T04:01:00"/>
    <x v="0"/>
    <m/>
    <m/>
  </r>
  <r>
    <x v="19"/>
    <x v="2"/>
    <d v="2026-07-20T00:00:00"/>
    <d v="1899-12-30T04:25:00"/>
    <x v="0"/>
    <m/>
    <m/>
  </r>
  <r>
    <x v="20"/>
    <x v="0"/>
    <d v="2026-07-20T00:00:00"/>
    <d v="1899-12-30T03:54:00"/>
    <x v="0"/>
    <m/>
    <m/>
  </r>
  <r>
    <x v="20"/>
    <x v="1"/>
    <d v="2026-07-20T00:00:00"/>
    <d v="1899-12-30T04:16:00"/>
    <x v="0"/>
    <m/>
    <m/>
  </r>
  <r>
    <x v="20"/>
    <x v="2"/>
    <d v="2026-07-20T00:00:00"/>
    <d v="1899-12-30T04:14:00"/>
    <x v="0"/>
    <m/>
    <m/>
  </r>
  <r>
    <x v="21"/>
    <x v="0"/>
    <d v="2026-07-20T00:00:00"/>
    <d v="1899-12-30T03:42:00"/>
    <x v="0"/>
    <m/>
    <m/>
  </r>
  <r>
    <x v="21"/>
    <x v="1"/>
    <d v="2026-07-20T00:00:00"/>
    <d v="1899-12-30T03:51:00"/>
    <x v="0"/>
    <m/>
    <m/>
  </r>
  <r>
    <x v="21"/>
    <x v="2"/>
    <d v="2026-07-20T00:00:00"/>
    <d v="1899-12-30T04:25:00"/>
    <x v="0"/>
    <m/>
    <m/>
  </r>
  <r>
    <x v="22"/>
    <x v="0"/>
    <d v="2026-07-20T00:00:00"/>
    <d v="1899-12-30T03:59:00"/>
    <x v="0"/>
    <m/>
    <m/>
  </r>
  <r>
    <x v="22"/>
    <x v="1"/>
    <d v="2026-07-20T00:00:00"/>
    <d v="1899-12-30T03:45:00"/>
    <x v="0"/>
    <m/>
    <m/>
  </r>
  <r>
    <x v="22"/>
    <x v="2"/>
    <d v="2026-07-20T00:00:00"/>
    <d v="1899-12-30T04:13:00"/>
    <x v="0"/>
    <m/>
    <m/>
  </r>
  <r>
    <x v="23"/>
    <x v="0"/>
    <d v="2026-07-20T00:00:00"/>
    <d v="1899-12-30T03:57:00"/>
    <x v="0"/>
    <m/>
    <m/>
  </r>
  <r>
    <x v="23"/>
    <x v="1"/>
    <d v="2026-07-20T00:00:00"/>
    <d v="1899-12-30T04:04:00"/>
    <x v="0"/>
    <m/>
    <m/>
  </r>
  <r>
    <x v="23"/>
    <x v="2"/>
    <d v="2026-07-20T00:00:00"/>
    <d v="1899-12-30T04:07:00"/>
    <x v="0"/>
    <m/>
    <m/>
  </r>
  <r>
    <x v="24"/>
    <x v="0"/>
    <d v="2026-07-20T00:00:00"/>
    <d v="1899-12-30T03:38:00"/>
    <x v="0"/>
    <m/>
    <m/>
  </r>
  <r>
    <x v="24"/>
    <x v="1"/>
    <d v="2026-07-20T00:00:00"/>
    <d v="1899-12-30T04:16:00"/>
    <x v="0"/>
    <m/>
    <m/>
  </r>
  <r>
    <x v="24"/>
    <x v="2"/>
    <d v="2026-07-20T00:00:00"/>
    <d v="1899-12-30T04:01:00"/>
    <x v="0"/>
    <m/>
    <m/>
  </r>
  <r>
    <x v="25"/>
    <x v="0"/>
    <d v="2026-07-20T00:00:00"/>
    <d v="1899-12-30T03:33:00"/>
    <x v="0"/>
    <m/>
    <m/>
  </r>
  <r>
    <x v="25"/>
    <x v="1"/>
    <d v="2026-07-20T00:00:00"/>
    <d v="1899-12-30T04:02:00"/>
    <x v="0"/>
    <m/>
    <m/>
  </r>
  <r>
    <x v="25"/>
    <x v="2"/>
    <d v="2026-07-20T00:00:00"/>
    <d v="1899-12-30T04:39:00"/>
    <x v="0"/>
    <m/>
    <m/>
  </r>
  <r>
    <x v="26"/>
    <x v="0"/>
    <d v="2026-07-20T00:00:00"/>
    <d v="1899-12-30T03:30:00"/>
    <x v="0"/>
    <m/>
    <m/>
  </r>
  <r>
    <x v="26"/>
    <x v="1"/>
    <d v="2026-07-20T00:00:00"/>
    <d v="1899-12-30T04:13:00"/>
    <x v="0"/>
    <m/>
    <m/>
  </r>
  <r>
    <x v="26"/>
    <x v="2"/>
    <d v="2026-07-20T00:00:00"/>
    <d v="1899-12-30T04:25:00"/>
    <x v="0"/>
    <m/>
    <m/>
  </r>
  <r>
    <x v="27"/>
    <x v="0"/>
    <d v="2026-07-20T00:00:00"/>
    <d v="1899-12-30T03:59:00"/>
    <x v="0"/>
    <m/>
    <m/>
  </r>
  <r>
    <x v="27"/>
    <x v="1"/>
    <d v="2026-07-20T00:00:00"/>
    <d v="1899-12-30T03:59:00"/>
    <x v="0"/>
    <m/>
    <m/>
  </r>
  <r>
    <x v="27"/>
    <x v="2"/>
    <d v="2026-07-20T00:00:00"/>
    <d v="1899-12-30T04:15:00"/>
    <x v="0"/>
    <m/>
    <m/>
  </r>
  <r>
    <x v="28"/>
    <x v="0"/>
    <d v="2026-07-20T00:00:00"/>
    <d v="1899-12-30T03:51:00"/>
    <x v="0"/>
    <m/>
    <m/>
  </r>
  <r>
    <x v="28"/>
    <x v="1"/>
    <d v="2026-07-20T00:00:00"/>
    <d v="1899-12-30T04:17:00"/>
    <x v="0"/>
    <m/>
    <m/>
  </r>
  <r>
    <x v="28"/>
    <x v="2"/>
    <d v="2026-07-20T00:00:00"/>
    <d v="1899-12-30T04:23:00"/>
    <x v="0"/>
    <m/>
    <m/>
  </r>
  <r>
    <x v="29"/>
    <x v="0"/>
    <d v="2026-07-20T00:00:00"/>
    <d v="1899-12-30T03:30:00"/>
    <x v="0"/>
    <m/>
    <m/>
  </r>
  <r>
    <x v="29"/>
    <x v="1"/>
    <d v="2026-07-20T00:00:00"/>
    <d v="1899-12-30T04:06:00"/>
    <x v="0"/>
    <m/>
    <m/>
  </r>
  <r>
    <x v="29"/>
    <x v="2"/>
    <d v="2026-07-20T00:00:00"/>
    <d v="1899-12-30T04:18:00"/>
    <x v="0"/>
    <m/>
    <m/>
  </r>
  <r>
    <x v="30"/>
    <x v="0"/>
    <d v="2026-07-20T00:00:00"/>
    <d v="1899-12-30T04:06:00"/>
    <x v="0"/>
    <m/>
    <m/>
  </r>
  <r>
    <x v="30"/>
    <x v="1"/>
    <d v="2026-07-20T00:00:00"/>
    <d v="1899-12-30T04:03:00"/>
    <x v="0"/>
    <m/>
    <m/>
  </r>
  <r>
    <x v="30"/>
    <x v="2"/>
    <d v="2026-07-20T00:00:00"/>
    <d v="1899-12-30T04:14:00"/>
    <x v="0"/>
    <m/>
    <m/>
  </r>
  <r>
    <x v="31"/>
    <x v="0"/>
    <d v="2026-07-20T00:00:00"/>
    <d v="1899-12-30T03:51:00"/>
    <x v="0"/>
    <m/>
    <m/>
  </r>
  <r>
    <x v="31"/>
    <x v="1"/>
    <d v="2026-07-20T00:00:00"/>
    <d v="1899-12-30T04:10:00"/>
    <x v="0"/>
    <m/>
    <m/>
  </r>
  <r>
    <x v="31"/>
    <x v="2"/>
    <d v="2026-07-20T00:00:00"/>
    <d v="1899-12-30T04:29:00"/>
    <x v="0"/>
    <m/>
    <m/>
  </r>
  <r>
    <x v="32"/>
    <x v="0"/>
    <d v="2026-07-20T00:00:00"/>
    <d v="1899-12-30T03:53:00"/>
    <x v="0"/>
    <m/>
    <m/>
  </r>
  <r>
    <x v="32"/>
    <x v="1"/>
    <d v="2026-07-20T00:00:00"/>
    <d v="1899-12-30T03:50:00"/>
    <x v="0"/>
    <m/>
    <m/>
  </r>
  <r>
    <x v="32"/>
    <x v="2"/>
    <d v="2026-07-20T00:00:00"/>
    <d v="1899-12-30T04:23:00"/>
    <x v="0"/>
    <m/>
    <m/>
  </r>
  <r>
    <x v="33"/>
    <x v="0"/>
    <d v="2026-07-20T00:00:00"/>
    <d v="1899-12-30T03:40:00"/>
    <x v="0"/>
    <m/>
    <m/>
  </r>
  <r>
    <x v="33"/>
    <x v="1"/>
    <d v="2026-07-20T00:00:00"/>
    <d v="1899-12-30T04:09:00"/>
    <x v="0"/>
    <m/>
    <m/>
  </r>
  <r>
    <x v="33"/>
    <x v="2"/>
    <d v="2026-07-20T00:00:00"/>
    <d v="1899-12-30T04:13:00"/>
    <x v="0"/>
    <m/>
    <m/>
  </r>
  <r>
    <x v="34"/>
    <x v="0"/>
    <d v="2026-07-20T00:00:00"/>
    <d v="1899-12-30T03:37:00"/>
    <x v="0"/>
    <m/>
    <m/>
  </r>
  <r>
    <x v="34"/>
    <x v="1"/>
    <d v="2026-07-20T00:00:00"/>
    <d v="1899-12-30T04:03:00"/>
    <x v="0"/>
    <m/>
    <m/>
  </r>
  <r>
    <x v="34"/>
    <x v="2"/>
    <d v="2026-07-20T00:00:00"/>
    <d v="1899-12-30T04:27:00"/>
    <x v="0"/>
    <m/>
    <m/>
  </r>
  <r>
    <x v="35"/>
    <x v="0"/>
    <d v="2026-07-20T00:00:00"/>
    <d v="1899-12-30T03:51:00"/>
    <x v="0"/>
    <m/>
    <m/>
  </r>
  <r>
    <x v="35"/>
    <x v="1"/>
    <d v="2026-07-20T00:00:00"/>
    <d v="1899-12-30T03:45:00"/>
    <x v="0"/>
    <m/>
    <m/>
  </r>
  <r>
    <x v="35"/>
    <x v="2"/>
    <d v="2026-07-20T00:00:00"/>
    <d v="1899-12-30T04:17:00"/>
    <x v="0"/>
    <m/>
    <m/>
  </r>
  <r>
    <x v="36"/>
    <x v="0"/>
    <d v="2026-07-20T00:00:00"/>
    <d v="1899-12-30T04:06:00"/>
    <x v="0"/>
    <m/>
    <m/>
  </r>
  <r>
    <x v="36"/>
    <x v="1"/>
    <d v="2026-07-20T00:00:00"/>
    <d v="1899-12-30T04:00:00"/>
    <x v="0"/>
    <m/>
    <m/>
  </r>
  <r>
    <x v="36"/>
    <x v="2"/>
    <d v="2026-07-20T00:00:00"/>
    <d v="1899-12-30T04:16:00"/>
    <x v="0"/>
    <m/>
    <m/>
  </r>
  <r>
    <x v="37"/>
    <x v="0"/>
    <d v="2026-07-20T00:00:00"/>
    <d v="1899-12-30T03:57:00"/>
    <x v="0"/>
    <m/>
    <m/>
  </r>
  <r>
    <x v="37"/>
    <x v="1"/>
    <d v="2026-07-20T00:00:00"/>
    <d v="1899-12-30T04:20:00"/>
    <x v="0"/>
    <m/>
    <m/>
  </r>
  <r>
    <x v="37"/>
    <x v="2"/>
    <d v="2026-07-20T00:00:00"/>
    <d v="1899-12-30T04:20:00"/>
    <x v="0"/>
    <m/>
    <m/>
  </r>
  <r>
    <x v="38"/>
    <x v="0"/>
    <d v="2026-07-20T00:00:00"/>
    <d v="1899-12-30T03:57:00"/>
    <x v="0"/>
    <m/>
    <m/>
  </r>
  <r>
    <x v="38"/>
    <x v="1"/>
    <d v="2026-07-20T00:00:00"/>
    <d v="1899-12-30T04:07:00"/>
    <x v="0"/>
    <m/>
    <m/>
  </r>
  <r>
    <x v="38"/>
    <x v="2"/>
    <d v="2026-07-20T00:00:00"/>
    <d v="1899-12-30T04:18:00"/>
    <x v="0"/>
    <m/>
    <m/>
  </r>
  <r>
    <x v="39"/>
    <x v="0"/>
    <d v="2026-07-20T00:00:00"/>
    <d v="1899-12-30T03:56:00"/>
    <x v="0"/>
    <m/>
    <m/>
  </r>
  <r>
    <x v="39"/>
    <x v="1"/>
    <d v="2026-07-20T00:00:00"/>
    <d v="1899-12-30T03:56:00"/>
    <x v="0"/>
    <m/>
    <m/>
  </r>
  <r>
    <x v="39"/>
    <x v="2"/>
    <d v="2026-07-20T00:00:00"/>
    <d v="1899-12-30T04:19:00"/>
    <x v="0"/>
    <m/>
    <m/>
  </r>
  <r>
    <x v="40"/>
    <x v="0"/>
    <d v="2026-07-20T00:00:00"/>
    <d v="1899-12-30T04:06:00"/>
    <x v="0"/>
    <m/>
    <m/>
  </r>
  <r>
    <x v="40"/>
    <x v="1"/>
    <d v="2026-07-20T00:00:00"/>
    <d v="1899-12-30T03:48:00"/>
    <x v="0"/>
    <m/>
    <m/>
  </r>
  <r>
    <x v="40"/>
    <x v="2"/>
    <d v="2026-07-20T00:00:00"/>
    <d v="1899-12-30T04:04:00"/>
    <x v="0"/>
    <m/>
    <m/>
  </r>
  <r>
    <x v="41"/>
    <x v="0"/>
    <d v="2026-07-20T00:00:00"/>
    <d v="1899-12-30T03:36:00"/>
    <x v="0"/>
    <m/>
    <m/>
  </r>
  <r>
    <x v="41"/>
    <x v="1"/>
    <d v="2026-07-20T00:00:00"/>
    <d v="1899-12-30T04:15:00"/>
    <x v="0"/>
    <m/>
    <m/>
  </r>
  <r>
    <x v="41"/>
    <x v="2"/>
    <d v="2026-07-20T00:00:00"/>
    <d v="1899-12-30T04:18:00"/>
    <x v="0"/>
    <m/>
    <m/>
  </r>
  <r>
    <x v="42"/>
    <x v="0"/>
    <d v="2026-07-20T00:00:00"/>
    <d v="1899-12-30T03:31:00"/>
    <x v="0"/>
    <m/>
    <m/>
  </r>
  <r>
    <x v="42"/>
    <x v="1"/>
    <d v="2026-07-20T00:00:00"/>
    <d v="1899-12-30T04:18:00"/>
    <x v="0"/>
    <m/>
    <m/>
  </r>
  <r>
    <x v="42"/>
    <x v="2"/>
    <d v="2026-07-20T00:00:00"/>
    <d v="1899-12-30T04:36:00"/>
    <x v="0"/>
    <m/>
    <m/>
  </r>
  <r>
    <x v="43"/>
    <x v="0"/>
    <d v="2026-07-20T00:00:00"/>
    <d v="1899-12-30T03:58:00"/>
    <x v="0"/>
    <m/>
    <m/>
  </r>
  <r>
    <x v="43"/>
    <x v="1"/>
    <d v="2026-07-20T00:00:00"/>
    <d v="1899-12-30T04:00:00"/>
    <x v="0"/>
    <m/>
    <m/>
  </r>
  <r>
    <x v="43"/>
    <x v="2"/>
    <d v="2026-07-20T00:00:00"/>
    <d v="1899-12-30T04:00:00"/>
    <x v="0"/>
    <m/>
    <m/>
  </r>
  <r>
    <x v="44"/>
    <x v="0"/>
    <d v="2026-07-20T00:00:00"/>
    <d v="1899-12-30T03:58:00"/>
    <x v="0"/>
    <m/>
    <m/>
  </r>
  <r>
    <x v="44"/>
    <x v="1"/>
    <d v="2026-07-20T00:00:00"/>
    <d v="1899-12-30T03:59:00"/>
    <x v="0"/>
    <m/>
    <m/>
  </r>
  <r>
    <x v="44"/>
    <x v="2"/>
    <d v="2026-07-20T00:00:00"/>
    <d v="1899-12-30T04:18:00"/>
    <x v="0"/>
    <m/>
    <m/>
  </r>
  <r>
    <x v="45"/>
    <x v="0"/>
    <d v="2026-07-20T00:00:00"/>
    <d v="1899-12-30T03:43:00"/>
    <x v="0"/>
    <m/>
    <m/>
  </r>
  <r>
    <x v="45"/>
    <x v="1"/>
    <d v="2026-07-20T00:00:00"/>
    <d v="1899-12-30T03:52:00"/>
    <x v="0"/>
    <m/>
    <m/>
  </r>
  <r>
    <x v="45"/>
    <x v="2"/>
    <d v="2026-07-20T00:00:00"/>
    <d v="1899-12-30T04:05:00"/>
    <x v="0"/>
    <m/>
    <m/>
  </r>
  <r>
    <x v="46"/>
    <x v="0"/>
    <d v="2026-07-20T00:00:00"/>
    <d v="1899-12-30T03:36:00"/>
    <x v="0"/>
    <m/>
    <m/>
  </r>
  <r>
    <x v="46"/>
    <x v="1"/>
    <d v="2026-07-20T00:00:00"/>
    <d v="1899-12-30T03:52:00"/>
    <x v="0"/>
    <m/>
    <m/>
  </r>
  <r>
    <x v="46"/>
    <x v="3"/>
    <d v="2026-07-20T00:00:00"/>
    <d v="1899-12-30T04:33:00"/>
    <x v="0"/>
    <m/>
    <m/>
  </r>
  <r>
    <x v="47"/>
    <x v="0"/>
    <d v="2026-07-20T00:00:00"/>
    <d v="1899-12-30T03:30:00"/>
    <x v="0"/>
    <m/>
    <m/>
  </r>
  <r>
    <x v="47"/>
    <x v="1"/>
    <d v="2026-07-20T00:00:00"/>
    <d v="1899-12-30T03:56:00"/>
    <x v="0"/>
    <m/>
    <m/>
  </r>
  <r>
    <x v="47"/>
    <x v="3"/>
    <d v="2026-07-20T00:00:00"/>
    <d v="1899-12-30T04:31:00"/>
    <x v="0"/>
    <m/>
    <m/>
  </r>
  <r>
    <x v="48"/>
    <x v="0"/>
    <d v="2026-07-20T00:00:00"/>
    <d v="1899-12-30T03:30:00"/>
    <x v="0"/>
    <m/>
    <m/>
  </r>
  <r>
    <x v="48"/>
    <x v="1"/>
    <d v="2026-07-20T00:00:00"/>
    <d v="1899-12-30T04:12:00"/>
    <x v="0"/>
    <m/>
    <m/>
  </r>
  <r>
    <x v="48"/>
    <x v="3"/>
    <d v="2026-07-20T00:00:00"/>
    <d v="1899-12-30T04:50:00"/>
    <x v="0"/>
    <m/>
    <m/>
  </r>
  <r>
    <x v="49"/>
    <x v="0"/>
    <d v="2026-07-20T00:00:00"/>
    <d v="1899-12-30T03:43:00"/>
    <x v="0"/>
    <m/>
    <m/>
  </r>
  <r>
    <x v="49"/>
    <x v="1"/>
    <d v="2026-07-20T00:00:00"/>
    <d v="1899-12-30T03:47:00"/>
    <x v="0"/>
    <m/>
    <m/>
  </r>
  <r>
    <x v="49"/>
    <x v="3"/>
    <d v="2026-07-20T00:00:00"/>
    <d v="1899-12-30T04:34:00"/>
    <x v="0"/>
    <m/>
    <m/>
  </r>
  <r>
    <x v="50"/>
    <x v="0"/>
    <d v="2026-07-20T00:00:00"/>
    <d v="1899-12-30T03:31:00"/>
    <x v="0"/>
    <m/>
    <m/>
  </r>
  <r>
    <x v="50"/>
    <x v="1"/>
    <d v="2026-07-20T00:00:00"/>
    <d v="1899-12-30T03:55:00"/>
    <x v="0"/>
    <m/>
    <m/>
  </r>
  <r>
    <x v="50"/>
    <x v="3"/>
    <d v="2026-07-20T00:00:00"/>
    <d v="1899-12-30T04:18:00"/>
    <x v="0"/>
    <m/>
    <m/>
  </r>
  <r>
    <x v="51"/>
    <x v="0"/>
    <d v="2026-07-20T00:00:00"/>
    <d v="1899-12-30T04:03:00"/>
    <x v="0"/>
    <m/>
    <m/>
  </r>
  <r>
    <x v="51"/>
    <x v="1"/>
    <d v="2026-07-20T00:00:00"/>
    <d v="1899-12-30T04:05:00"/>
    <x v="0"/>
    <m/>
    <m/>
  </r>
  <r>
    <x v="51"/>
    <x v="3"/>
    <d v="2026-07-20T00:00:00"/>
    <d v="1899-12-30T04:32:00"/>
    <x v="0"/>
    <m/>
    <m/>
  </r>
  <r>
    <x v="52"/>
    <x v="0"/>
    <d v="2026-07-20T00:00:00"/>
    <d v="1899-12-30T04:06:00"/>
    <x v="0"/>
    <m/>
    <m/>
  </r>
  <r>
    <x v="52"/>
    <x v="1"/>
    <d v="2026-07-20T00:00:00"/>
    <d v="1899-12-30T03:48:00"/>
    <x v="0"/>
    <m/>
    <m/>
  </r>
  <r>
    <x v="52"/>
    <x v="3"/>
    <d v="2026-07-20T00:00:00"/>
    <d v="1899-12-30T04:25:00"/>
    <x v="0"/>
    <m/>
    <m/>
  </r>
  <r>
    <x v="53"/>
    <x v="0"/>
    <d v="2026-07-20T00:00:00"/>
    <d v="1899-12-30T04:04:00"/>
    <x v="0"/>
    <m/>
    <m/>
  </r>
  <r>
    <x v="53"/>
    <x v="1"/>
    <d v="2026-07-20T00:00:00"/>
    <d v="1899-12-30T04:01:00"/>
    <x v="0"/>
    <m/>
    <m/>
  </r>
  <r>
    <x v="53"/>
    <x v="3"/>
    <d v="2026-07-20T00:00:00"/>
    <d v="1899-12-30T04:30:00"/>
    <x v="0"/>
    <m/>
    <m/>
  </r>
  <r>
    <x v="54"/>
    <x v="0"/>
    <d v="2026-07-20T00:00:00"/>
    <d v="1899-12-30T03:41:00"/>
    <x v="0"/>
    <m/>
    <m/>
  </r>
  <r>
    <x v="54"/>
    <x v="1"/>
    <d v="2026-07-20T00:00:00"/>
    <d v="1899-12-30T03:55:00"/>
    <x v="0"/>
    <m/>
    <m/>
  </r>
  <r>
    <x v="54"/>
    <x v="3"/>
    <d v="2026-07-20T00:00:00"/>
    <d v="1899-12-30T04:38:00"/>
    <x v="0"/>
    <m/>
    <m/>
  </r>
  <r>
    <x v="55"/>
    <x v="0"/>
    <d v="2026-07-20T00:00:00"/>
    <d v="1899-12-30T03:38:00"/>
    <x v="0"/>
    <m/>
    <m/>
  </r>
  <r>
    <x v="55"/>
    <x v="1"/>
    <d v="2026-07-20T00:00:00"/>
    <d v="1899-12-30T04:08:00"/>
    <x v="0"/>
    <m/>
    <m/>
  </r>
  <r>
    <x v="55"/>
    <x v="3"/>
    <d v="2026-07-20T00:00:00"/>
    <d v="1899-12-30T04:34:00"/>
    <x v="0"/>
    <m/>
    <m/>
  </r>
  <r>
    <x v="56"/>
    <x v="0"/>
    <d v="2026-07-20T00:00:00"/>
    <d v="1899-12-30T04:05:00"/>
    <x v="0"/>
    <m/>
    <m/>
  </r>
  <r>
    <x v="56"/>
    <x v="1"/>
    <d v="2026-07-20T00:00:00"/>
    <d v="1899-12-30T04:05:00"/>
    <x v="0"/>
    <m/>
    <m/>
  </r>
  <r>
    <x v="56"/>
    <x v="3"/>
    <d v="2026-07-20T00:00:00"/>
    <d v="1899-12-30T04:40:00"/>
    <x v="0"/>
    <m/>
    <m/>
  </r>
  <r>
    <x v="57"/>
    <x v="0"/>
    <d v="2026-07-20T00:00:00"/>
    <d v="1899-12-30T03:32:00"/>
    <x v="0"/>
    <m/>
    <m/>
  </r>
  <r>
    <x v="57"/>
    <x v="1"/>
    <d v="2026-07-20T00:00:00"/>
    <d v="1899-12-30T04:22:00"/>
    <x v="0"/>
    <m/>
    <m/>
  </r>
  <r>
    <x v="57"/>
    <x v="3"/>
    <d v="2026-07-20T00:00:00"/>
    <d v="1899-12-30T04:34:00"/>
    <x v="0"/>
    <m/>
    <m/>
  </r>
  <r>
    <x v="58"/>
    <x v="0"/>
    <d v="2026-07-20T00:00:00"/>
    <d v="1899-12-30T03:30:00"/>
    <x v="0"/>
    <m/>
    <m/>
  </r>
  <r>
    <x v="58"/>
    <x v="1"/>
    <d v="2026-07-20T00:00:00"/>
    <d v="1899-12-30T03:46:00"/>
    <x v="0"/>
    <m/>
    <m/>
  </r>
  <r>
    <x v="58"/>
    <x v="3"/>
    <d v="2026-07-20T00:00:00"/>
    <d v="1899-12-30T04:24:00"/>
    <x v="0"/>
    <m/>
    <m/>
  </r>
  <r>
    <x v="59"/>
    <x v="0"/>
    <d v="2026-07-20T00:00:00"/>
    <d v="1899-12-30T03:58:00"/>
    <x v="0"/>
    <m/>
    <m/>
  </r>
  <r>
    <x v="59"/>
    <x v="1"/>
    <d v="2026-07-20T00:00:00"/>
    <d v="1899-12-30T04:22:00"/>
    <x v="0"/>
    <m/>
    <m/>
  </r>
  <r>
    <x v="59"/>
    <x v="3"/>
    <d v="2026-07-20T00:00:00"/>
    <d v="1899-12-30T04:21:00"/>
    <x v="0"/>
    <m/>
    <m/>
  </r>
  <r>
    <x v="60"/>
    <x v="0"/>
    <d v="2026-07-20T00:00:00"/>
    <d v="1899-12-30T04:08:00"/>
    <x v="0"/>
    <m/>
    <m/>
  </r>
  <r>
    <x v="60"/>
    <x v="1"/>
    <d v="2026-07-20T00:00:00"/>
    <d v="1899-12-30T04:15:00"/>
    <x v="0"/>
    <m/>
    <m/>
  </r>
  <r>
    <x v="60"/>
    <x v="3"/>
    <d v="2026-07-20T00:00:00"/>
    <d v="1899-12-30T04:50:00"/>
    <x v="0"/>
    <m/>
    <m/>
  </r>
  <r>
    <x v="61"/>
    <x v="0"/>
    <d v="2026-07-20T00:00:00"/>
    <d v="1899-12-30T03:46:00"/>
    <x v="0"/>
    <m/>
    <m/>
  </r>
  <r>
    <x v="61"/>
    <x v="1"/>
    <d v="2026-07-20T00:00:00"/>
    <d v="1899-12-30T04:23:00"/>
    <x v="0"/>
    <m/>
    <m/>
  </r>
  <r>
    <x v="61"/>
    <x v="3"/>
    <d v="2026-07-20T00:00:00"/>
    <d v="1899-12-30T04:49:00"/>
    <x v="0"/>
    <m/>
    <m/>
  </r>
  <r>
    <x v="62"/>
    <x v="0"/>
    <d v="2026-07-20T00:00:00"/>
    <d v="1899-12-30T03:48:00"/>
    <x v="0"/>
    <m/>
    <m/>
  </r>
  <r>
    <x v="62"/>
    <x v="1"/>
    <d v="2026-07-20T00:00:00"/>
    <d v="1899-12-30T03:50:00"/>
    <x v="0"/>
    <m/>
    <m/>
  </r>
  <r>
    <x v="62"/>
    <x v="3"/>
    <d v="2026-07-20T00:00:00"/>
    <d v="1899-12-30T04:37:00"/>
    <x v="0"/>
    <m/>
    <m/>
  </r>
  <r>
    <x v="63"/>
    <x v="0"/>
    <d v="2026-07-20T00:00:00"/>
    <d v="1899-12-30T03:52:00"/>
    <x v="0"/>
    <m/>
    <m/>
  </r>
  <r>
    <x v="63"/>
    <x v="1"/>
    <d v="2026-07-20T00:00:00"/>
    <d v="1899-12-30T04:12:00"/>
    <x v="0"/>
    <m/>
    <m/>
  </r>
  <r>
    <x v="63"/>
    <x v="3"/>
    <d v="2026-07-20T00:00:00"/>
    <d v="1899-12-30T04:24:00"/>
    <x v="0"/>
    <m/>
    <m/>
  </r>
  <r>
    <x v="64"/>
    <x v="0"/>
    <d v="2026-07-20T00:00:00"/>
    <d v="1899-12-30T03:59:00"/>
    <x v="0"/>
    <m/>
    <m/>
  </r>
  <r>
    <x v="64"/>
    <x v="1"/>
    <d v="2026-07-20T00:00:00"/>
    <d v="1899-12-30T04:03:00"/>
    <x v="0"/>
    <m/>
    <m/>
  </r>
  <r>
    <x v="64"/>
    <x v="3"/>
    <d v="2026-07-20T00:00:00"/>
    <d v="1899-12-30T04:35:00"/>
    <x v="0"/>
    <m/>
    <m/>
  </r>
  <r>
    <x v="65"/>
    <x v="0"/>
    <d v="2026-07-20T00:00:00"/>
    <d v="1899-12-30T04:07:00"/>
    <x v="0"/>
    <m/>
    <m/>
  </r>
  <r>
    <x v="65"/>
    <x v="1"/>
    <d v="2026-07-20T00:00:00"/>
    <d v="1899-12-30T03:46:00"/>
    <x v="0"/>
    <m/>
    <m/>
  </r>
  <r>
    <x v="65"/>
    <x v="3"/>
    <d v="2026-07-20T00:00:00"/>
    <d v="1899-12-30T04:42:00"/>
    <x v="0"/>
    <m/>
    <m/>
  </r>
  <r>
    <x v="66"/>
    <x v="0"/>
    <d v="2026-07-20T00:00:00"/>
    <d v="1899-12-30T03:34:00"/>
    <x v="0"/>
    <m/>
    <m/>
  </r>
  <r>
    <x v="66"/>
    <x v="1"/>
    <d v="2026-07-20T00:00:00"/>
    <d v="1899-12-30T03:56:00"/>
    <x v="0"/>
    <m/>
    <m/>
  </r>
  <r>
    <x v="66"/>
    <x v="3"/>
    <d v="2026-07-20T00:00:00"/>
    <d v="1899-12-30T04:37:00"/>
    <x v="0"/>
    <m/>
    <m/>
  </r>
  <r>
    <x v="67"/>
    <x v="0"/>
    <d v="2026-07-20T00:00:00"/>
    <d v="1899-12-30T04:03:00"/>
    <x v="0"/>
    <m/>
    <m/>
  </r>
  <r>
    <x v="67"/>
    <x v="1"/>
    <d v="2026-07-20T00:00:00"/>
    <d v="1899-12-30T03:49:00"/>
    <x v="0"/>
    <m/>
    <m/>
  </r>
  <r>
    <x v="67"/>
    <x v="3"/>
    <d v="2026-07-20T00:00:00"/>
    <d v="1899-12-30T04:18:00"/>
    <x v="0"/>
    <m/>
    <m/>
  </r>
  <r>
    <x v="68"/>
    <x v="0"/>
    <d v="2026-07-20T00:00:00"/>
    <d v="1899-12-30T03:42:00"/>
    <x v="0"/>
    <m/>
    <m/>
  </r>
  <r>
    <x v="68"/>
    <x v="1"/>
    <d v="2026-07-20T00:00:00"/>
    <d v="1899-12-30T04:18:00"/>
    <x v="0"/>
    <m/>
    <m/>
  </r>
  <r>
    <x v="68"/>
    <x v="3"/>
    <d v="2026-07-20T00:00:00"/>
    <d v="1899-12-30T04:42:00"/>
    <x v="0"/>
    <m/>
    <m/>
  </r>
  <r>
    <x v="69"/>
    <x v="0"/>
    <d v="2026-07-20T00:00:00"/>
    <d v="1899-12-30T04:09:00"/>
    <x v="0"/>
    <m/>
    <m/>
  </r>
  <r>
    <x v="69"/>
    <x v="1"/>
    <d v="2026-07-20T00:00:00"/>
    <d v="1899-12-30T03:57:00"/>
    <x v="0"/>
    <m/>
    <m/>
  </r>
  <r>
    <x v="69"/>
    <x v="3"/>
    <d v="2026-07-20T00:00:00"/>
    <d v="1899-12-30T04:48:00"/>
    <x v="0"/>
    <m/>
    <m/>
  </r>
  <r>
    <x v="70"/>
    <x v="0"/>
    <d v="2026-07-20T00:00:00"/>
    <d v="1899-12-30T03:59:00"/>
    <x v="0"/>
    <m/>
    <m/>
  </r>
  <r>
    <x v="70"/>
    <x v="1"/>
    <d v="2026-07-20T00:00:00"/>
    <d v="1899-12-30T03:56:00"/>
    <x v="0"/>
    <m/>
    <m/>
  </r>
  <r>
    <x v="70"/>
    <x v="3"/>
    <d v="2026-07-20T00:00:00"/>
    <d v="1899-12-30T04:53:00"/>
    <x v="0"/>
    <m/>
    <m/>
  </r>
  <r>
    <x v="71"/>
    <x v="0"/>
    <d v="2026-07-20T00:00:00"/>
    <d v="1899-12-30T03:47:00"/>
    <x v="0"/>
    <m/>
    <m/>
  </r>
  <r>
    <x v="71"/>
    <x v="1"/>
    <d v="2026-07-20T00:00:00"/>
    <d v="1899-12-30T04:15:00"/>
    <x v="0"/>
    <m/>
    <m/>
  </r>
  <r>
    <x v="71"/>
    <x v="3"/>
    <d v="2026-07-20T00:00:00"/>
    <d v="1899-12-30T04:49:00"/>
    <x v="0"/>
    <m/>
    <m/>
  </r>
  <r>
    <x v="72"/>
    <x v="0"/>
    <d v="2026-07-20T00:00:00"/>
    <d v="1899-12-30T03:35:00"/>
    <x v="0"/>
    <m/>
    <m/>
  </r>
  <r>
    <x v="72"/>
    <x v="1"/>
    <d v="2026-07-20T00:00:00"/>
    <d v="1899-12-30T04:04:00"/>
    <x v="0"/>
    <m/>
    <m/>
  </r>
  <r>
    <x v="72"/>
    <x v="3"/>
    <d v="2026-07-20T00:00:00"/>
    <d v="1899-12-30T04:51:00"/>
    <x v="0"/>
    <m/>
    <m/>
  </r>
  <r>
    <x v="73"/>
    <x v="0"/>
    <d v="2026-07-20T00:00:00"/>
    <d v="1899-12-30T03:30:00"/>
    <x v="0"/>
    <m/>
    <m/>
  </r>
  <r>
    <x v="73"/>
    <x v="1"/>
    <d v="2026-07-20T00:00:00"/>
    <d v="1899-12-30T03:53:00"/>
    <x v="0"/>
    <m/>
    <m/>
  </r>
  <r>
    <x v="73"/>
    <x v="3"/>
    <d v="2026-07-20T00:00:00"/>
    <d v="1899-12-30T04:37:00"/>
    <x v="0"/>
    <m/>
    <m/>
  </r>
  <r>
    <x v="74"/>
    <x v="0"/>
    <d v="2026-07-20T00:00:00"/>
    <d v="1899-12-30T04:07:00"/>
    <x v="0"/>
    <m/>
    <m/>
  </r>
  <r>
    <x v="74"/>
    <x v="1"/>
    <d v="2026-07-20T00:00:00"/>
    <d v="1899-12-30T03:47:00"/>
    <x v="0"/>
    <m/>
    <m/>
  </r>
  <r>
    <x v="74"/>
    <x v="3"/>
    <d v="2026-07-20T00:00:00"/>
    <d v="1899-12-30T04:34:00"/>
    <x v="0"/>
    <m/>
    <m/>
  </r>
  <r>
    <x v="75"/>
    <x v="0"/>
    <d v="2026-07-20T00:00:00"/>
    <d v="1899-12-30T03:51:00"/>
    <x v="0"/>
    <m/>
    <m/>
  </r>
  <r>
    <x v="75"/>
    <x v="1"/>
    <d v="2026-07-20T00:00:00"/>
    <d v="1899-12-30T04:21:00"/>
    <x v="0"/>
    <m/>
    <m/>
  </r>
  <r>
    <x v="75"/>
    <x v="3"/>
    <d v="2026-07-20T00:00:00"/>
    <d v="1899-12-30T04:15:00"/>
    <x v="0"/>
    <m/>
    <m/>
  </r>
  <r>
    <x v="76"/>
    <x v="0"/>
    <d v="2026-07-20T00:00:00"/>
    <d v="1899-12-30T03:57:00"/>
    <x v="0"/>
    <m/>
    <m/>
  </r>
  <r>
    <x v="76"/>
    <x v="1"/>
    <d v="2026-07-20T00:00:00"/>
    <d v="1899-12-30T03:56:00"/>
    <x v="0"/>
    <m/>
    <m/>
  </r>
  <r>
    <x v="76"/>
    <x v="3"/>
    <d v="2026-07-20T00:00:00"/>
    <d v="1899-12-30T04:49:00"/>
    <x v="0"/>
    <m/>
    <m/>
  </r>
  <r>
    <x v="77"/>
    <x v="0"/>
    <d v="2026-07-20T00:00:00"/>
    <d v="1899-12-30T04:07:00"/>
    <x v="0"/>
    <m/>
    <m/>
  </r>
  <r>
    <x v="77"/>
    <x v="1"/>
    <d v="2026-07-20T00:00:00"/>
    <d v="1899-12-30T03:49:00"/>
    <x v="0"/>
    <m/>
    <m/>
  </r>
  <r>
    <x v="77"/>
    <x v="3"/>
    <d v="2026-07-20T00:00:00"/>
    <d v="1899-12-30T04:50:00"/>
    <x v="0"/>
    <m/>
    <m/>
  </r>
  <r>
    <x v="78"/>
    <x v="0"/>
    <d v="2026-07-20T00:00:00"/>
    <d v="1899-12-30T03:42:00"/>
    <x v="0"/>
    <m/>
    <m/>
  </r>
  <r>
    <x v="78"/>
    <x v="1"/>
    <d v="2026-07-20T00:00:00"/>
    <d v="1899-12-30T04:24:00"/>
    <x v="0"/>
    <m/>
    <m/>
  </r>
  <r>
    <x v="78"/>
    <x v="3"/>
    <d v="2026-07-20T00:00:00"/>
    <d v="1899-12-30T04:26:00"/>
    <x v="0"/>
    <m/>
    <m/>
  </r>
  <r>
    <x v="79"/>
    <x v="0"/>
    <d v="2026-07-20T00:00:00"/>
    <d v="1899-12-30T03:59:00"/>
    <x v="0"/>
    <m/>
    <m/>
  </r>
  <r>
    <x v="79"/>
    <x v="1"/>
    <d v="2026-07-20T00:00:00"/>
    <d v="1899-12-30T04:10:00"/>
    <x v="0"/>
    <m/>
    <m/>
  </r>
  <r>
    <x v="79"/>
    <x v="3"/>
    <d v="2026-07-20T00:00:00"/>
    <d v="1899-12-30T04:32:00"/>
    <x v="0"/>
    <m/>
    <m/>
  </r>
  <r>
    <x v="80"/>
    <x v="0"/>
    <d v="2026-07-20T00:00:00"/>
    <d v="1899-12-30T03:49:00"/>
    <x v="0"/>
    <m/>
    <m/>
  </r>
  <r>
    <x v="80"/>
    <x v="1"/>
    <d v="2026-07-20T00:00:00"/>
    <d v="1899-12-30T04:00:00"/>
    <x v="0"/>
    <m/>
    <m/>
  </r>
  <r>
    <x v="80"/>
    <x v="3"/>
    <d v="2026-07-20T00:00:00"/>
    <d v="1899-12-30T04:24:00"/>
    <x v="0"/>
    <m/>
    <m/>
  </r>
  <r>
    <x v="81"/>
    <x v="0"/>
    <d v="2026-07-20T00:00:00"/>
    <d v="1899-12-30T03:46:00"/>
    <x v="0"/>
    <m/>
    <m/>
  </r>
  <r>
    <x v="81"/>
    <x v="1"/>
    <d v="2026-07-20T00:00:00"/>
    <d v="1899-12-30T04:10:00"/>
    <x v="0"/>
    <m/>
    <m/>
  </r>
  <r>
    <x v="81"/>
    <x v="3"/>
    <d v="2026-07-20T00:00:00"/>
    <d v="1899-12-30T04:53:00"/>
    <x v="0"/>
    <m/>
    <m/>
  </r>
  <r>
    <x v="82"/>
    <x v="0"/>
    <d v="2026-07-20T00:00:00"/>
    <d v="1899-12-30T04:04:00"/>
    <x v="0"/>
    <m/>
    <m/>
  </r>
  <r>
    <x v="82"/>
    <x v="1"/>
    <d v="2026-07-20T00:00:00"/>
    <d v="1899-12-30T03:53:00"/>
    <x v="0"/>
    <m/>
    <m/>
  </r>
  <r>
    <x v="82"/>
    <x v="3"/>
    <d v="2026-07-20T00:00:00"/>
    <d v="1899-12-30T04:38:00"/>
    <x v="0"/>
    <m/>
    <m/>
  </r>
  <r>
    <x v="83"/>
    <x v="0"/>
    <d v="2026-07-20T00:00:00"/>
    <d v="1899-12-30T03:40:00"/>
    <x v="0"/>
    <m/>
    <m/>
  </r>
  <r>
    <x v="83"/>
    <x v="1"/>
    <d v="2026-07-20T00:00:00"/>
    <d v="1899-12-30T04:21:00"/>
    <x v="0"/>
    <m/>
    <m/>
  </r>
  <r>
    <x v="83"/>
    <x v="3"/>
    <d v="2026-07-20T00:00:00"/>
    <d v="1899-12-30T04:35:00"/>
    <x v="0"/>
    <m/>
    <m/>
  </r>
  <r>
    <x v="84"/>
    <x v="0"/>
    <d v="2026-07-20T00:00:00"/>
    <d v="1899-12-30T04:09:00"/>
    <x v="0"/>
    <m/>
    <m/>
  </r>
  <r>
    <x v="84"/>
    <x v="1"/>
    <d v="2026-07-20T00:00:00"/>
    <d v="1899-12-30T04:23:00"/>
    <x v="0"/>
    <m/>
    <m/>
  </r>
  <r>
    <x v="84"/>
    <x v="3"/>
    <d v="2026-07-20T00:00:00"/>
    <d v="1899-12-30T04:32:00"/>
    <x v="0"/>
    <m/>
    <m/>
  </r>
  <r>
    <x v="85"/>
    <x v="0"/>
    <d v="2026-07-20T00:00:00"/>
    <d v="1899-12-30T04:09:00"/>
    <x v="0"/>
    <m/>
    <m/>
  </r>
  <r>
    <x v="85"/>
    <x v="1"/>
    <d v="2026-07-20T00:00:00"/>
    <d v="1899-12-30T04:23:00"/>
    <x v="0"/>
    <m/>
    <m/>
  </r>
  <r>
    <x v="85"/>
    <x v="3"/>
    <d v="2026-07-20T00:00:00"/>
    <d v="1899-12-30T04:23:00"/>
    <x v="0"/>
    <m/>
    <m/>
  </r>
  <r>
    <x v="86"/>
    <x v="0"/>
    <d v="2026-07-20T00:00:00"/>
    <d v="1899-12-30T03:56:00"/>
    <x v="0"/>
    <m/>
    <m/>
  </r>
  <r>
    <x v="86"/>
    <x v="1"/>
    <d v="2026-07-20T00:00:00"/>
    <d v="1899-12-30T03:45:00"/>
    <x v="0"/>
    <m/>
    <m/>
  </r>
  <r>
    <x v="86"/>
    <x v="3"/>
    <d v="2026-07-20T00:00:00"/>
    <d v="1899-12-30T04:24:00"/>
    <x v="0"/>
    <m/>
    <m/>
  </r>
  <r>
    <x v="87"/>
    <x v="0"/>
    <d v="2026-07-20T00:00:00"/>
    <d v="1899-12-30T03:33:00"/>
    <x v="0"/>
    <m/>
    <m/>
  </r>
  <r>
    <x v="87"/>
    <x v="1"/>
    <d v="2026-07-20T00:00:00"/>
    <d v="1899-12-30T04:06:00"/>
    <x v="0"/>
    <m/>
    <m/>
  </r>
  <r>
    <x v="87"/>
    <x v="3"/>
    <d v="2026-07-20T00:00:00"/>
    <d v="1899-12-30T04:39:00"/>
    <x v="0"/>
    <m/>
    <m/>
  </r>
  <r>
    <x v="88"/>
    <x v="0"/>
    <d v="2026-07-20T00:00:00"/>
    <d v="1899-12-30T04:01:00"/>
    <x v="0"/>
    <m/>
    <m/>
  </r>
  <r>
    <x v="88"/>
    <x v="1"/>
    <d v="2026-07-20T00:00:00"/>
    <d v="1899-12-30T04:17:00"/>
    <x v="0"/>
    <m/>
    <m/>
  </r>
  <r>
    <x v="88"/>
    <x v="3"/>
    <d v="2026-07-20T00:00:00"/>
    <d v="1899-12-30T04:43:00"/>
    <x v="0"/>
    <m/>
    <m/>
  </r>
  <r>
    <x v="89"/>
    <x v="0"/>
    <d v="2026-07-20T00:00:00"/>
    <d v="1899-12-30T04:03:00"/>
    <x v="0"/>
    <m/>
    <m/>
  </r>
  <r>
    <x v="89"/>
    <x v="1"/>
    <d v="2026-07-20T00:00:00"/>
    <d v="1899-12-30T04:10:00"/>
    <x v="0"/>
    <m/>
    <m/>
  </r>
  <r>
    <x v="89"/>
    <x v="3"/>
    <d v="2026-07-20T00:00:00"/>
    <d v="1899-12-30T04:54:00"/>
    <x v="0"/>
    <m/>
    <m/>
  </r>
  <r>
    <x v="90"/>
    <x v="0"/>
    <d v="2026-07-20T00:00:00"/>
    <d v="1899-12-30T03:56:00"/>
    <x v="0"/>
    <m/>
    <m/>
  </r>
  <r>
    <x v="90"/>
    <x v="1"/>
    <d v="2026-07-20T00:00:00"/>
    <d v="1899-12-30T04:20:00"/>
    <x v="0"/>
    <m/>
    <m/>
  </r>
  <r>
    <x v="90"/>
    <x v="3"/>
    <d v="2026-07-20T00:00:00"/>
    <d v="1899-12-30T04:46:00"/>
    <x v="0"/>
    <m/>
    <m/>
  </r>
  <r>
    <x v="91"/>
    <x v="0"/>
    <d v="2026-07-20T00:00:00"/>
    <d v="1899-12-30T03:35:00"/>
    <x v="0"/>
    <m/>
    <m/>
  </r>
  <r>
    <x v="91"/>
    <x v="1"/>
    <d v="2026-07-20T00:00:00"/>
    <d v="1899-12-30T03:56:00"/>
    <x v="0"/>
    <m/>
    <m/>
  </r>
  <r>
    <x v="91"/>
    <x v="3"/>
    <d v="2026-07-20T00:00:00"/>
    <d v="1899-12-30T04:18:00"/>
    <x v="0"/>
    <m/>
    <m/>
  </r>
  <r>
    <x v="92"/>
    <x v="0"/>
    <d v="2026-07-20T00:00:00"/>
    <d v="1899-12-30T03:47:00"/>
    <x v="0"/>
    <m/>
    <m/>
  </r>
  <r>
    <x v="92"/>
    <x v="1"/>
    <d v="2026-07-20T00:00:00"/>
    <d v="1899-12-30T04:06:00"/>
    <x v="0"/>
    <m/>
    <m/>
  </r>
  <r>
    <x v="92"/>
    <x v="3"/>
    <d v="2026-07-20T00:00:00"/>
    <d v="1899-12-30T04:28:00"/>
    <x v="0"/>
    <m/>
    <m/>
  </r>
  <r>
    <x v="93"/>
    <x v="0"/>
    <d v="2026-07-20T00:00:00"/>
    <d v="1899-12-30T03:33:00"/>
    <x v="0"/>
    <m/>
    <m/>
  </r>
  <r>
    <x v="93"/>
    <x v="1"/>
    <d v="2026-07-20T00:00:00"/>
    <d v="1899-12-30T04:08:00"/>
    <x v="0"/>
    <m/>
    <m/>
  </r>
  <r>
    <x v="93"/>
    <x v="3"/>
    <d v="2026-07-20T00:00:00"/>
    <d v="1899-12-30T04:16:00"/>
    <x v="0"/>
    <m/>
    <m/>
  </r>
  <r>
    <x v="94"/>
    <x v="0"/>
    <d v="2026-07-20T00:00:00"/>
    <d v="1899-12-30T03:59:00"/>
    <x v="0"/>
    <m/>
    <m/>
  </r>
  <r>
    <x v="94"/>
    <x v="1"/>
    <d v="2026-07-20T00:00:00"/>
    <d v="1899-12-30T04:17:00"/>
    <x v="0"/>
    <m/>
    <m/>
  </r>
  <r>
    <x v="94"/>
    <x v="3"/>
    <d v="2026-07-20T00:00:00"/>
    <d v="1899-12-30T04:31:00"/>
    <x v="0"/>
    <m/>
    <m/>
  </r>
  <r>
    <x v="95"/>
    <x v="0"/>
    <d v="2026-07-20T00:00:00"/>
    <d v="1899-12-30T03:44:00"/>
    <x v="0"/>
    <m/>
    <m/>
  </r>
  <r>
    <x v="95"/>
    <x v="1"/>
    <d v="2026-07-20T00:00:00"/>
    <d v="1899-12-30T04:07:00"/>
    <x v="0"/>
    <m/>
    <m/>
  </r>
  <r>
    <x v="95"/>
    <x v="3"/>
    <d v="2026-07-20T00:00:00"/>
    <d v="1899-12-30T04:36:00"/>
    <x v="0"/>
    <m/>
    <m/>
  </r>
  <r>
    <x v="96"/>
    <x v="0"/>
    <d v="2026-07-20T00:00:00"/>
    <d v="1899-12-30T03:38:00"/>
    <x v="0"/>
    <m/>
    <m/>
  </r>
  <r>
    <x v="96"/>
    <x v="1"/>
    <d v="2026-07-20T00:00:00"/>
    <d v="1899-12-30T04:10:00"/>
    <x v="0"/>
    <m/>
    <m/>
  </r>
  <r>
    <x v="96"/>
    <x v="3"/>
    <d v="2026-07-20T00:00:00"/>
    <d v="1899-12-30T04:35:00"/>
    <x v="0"/>
    <m/>
    <m/>
  </r>
  <r>
    <x v="97"/>
    <x v="0"/>
    <d v="2026-07-20T00:00:00"/>
    <d v="1899-12-30T04:05:00"/>
    <x v="0"/>
    <m/>
    <m/>
  </r>
  <r>
    <x v="97"/>
    <x v="1"/>
    <d v="2026-07-20T00:00:00"/>
    <d v="1899-12-30T04:08:00"/>
    <x v="0"/>
    <m/>
    <m/>
  </r>
  <r>
    <x v="97"/>
    <x v="3"/>
    <d v="2026-07-20T00:00:00"/>
    <d v="1899-12-30T04:43:00"/>
    <x v="0"/>
    <m/>
    <m/>
  </r>
  <r>
    <x v="98"/>
    <x v="0"/>
    <d v="2026-07-20T00:00:00"/>
    <d v="1899-12-30T03:31:00"/>
    <x v="0"/>
    <m/>
    <m/>
  </r>
  <r>
    <x v="98"/>
    <x v="1"/>
    <d v="2026-07-20T00:00:00"/>
    <d v="1899-12-30T03:59:00"/>
    <x v="0"/>
    <m/>
    <m/>
  </r>
  <r>
    <x v="98"/>
    <x v="4"/>
    <d v="2026-07-20T00:00:00"/>
    <d v="1899-12-30T04:47:00"/>
    <x v="0"/>
    <m/>
    <m/>
  </r>
  <r>
    <x v="99"/>
    <x v="0"/>
    <d v="2026-07-20T00:00:00"/>
    <d v="1899-12-30T03:31:00"/>
    <x v="0"/>
    <m/>
    <m/>
  </r>
  <r>
    <x v="99"/>
    <x v="1"/>
    <d v="2026-07-20T00:00:00"/>
    <d v="1899-12-30T04:07:00"/>
    <x v="0"/>
    <m/>
    <m/>
  </r>
  <r>
    <x v="99"/>
    <x v="4"/>
    <d v="2026-07-20T00:00:00"/>
    <d v="1899-12-30T05:05:00"/>
    <x v="0"/>
    <m/>
    <m/>
  </r>
  <r>
    <x v="100"/>
    <x v="0"/>
    <d v="2026-07-20T00:00:00"/>
    <d v="1899-12-30T03:35:00"/>
    <x v="1"/>
    <m/>
    <m/>
  </r>
  <r>
    <x v="100"/>
    <x v="1"/>
    <d v="2026-07-20T00:00:00"/>
    <d v="1899-12-30T04:05:00"/>
    <x v="1"/>
    <m/>
    <m/>
  </r>
  <r>
    <x v="100"/>
    <x v="4"/>
    <d v="2026-07-20T00:00:00"/>
    <d v="1899-12-30T04:33:00"/>
    <x v="1"/>
    <m/>
    <m/>
  </r>
  <r>
    <x v="101"/>
    <x v="0"/>
    <d v="2026-07-20T00:00:00"/>
    <d v="1899-12-30T03:38:00"/>
    <x v="1"/>
    <m/>
    <m/>
  </r>
  <r>
    <x v="101"/>
    <x v="1"/>
    <d v="2026-07-20T00:00:00"/>
    <d v="1899-12-30T04:01:00"/>
    <x v="1"/>
    <m/>
    <m/>
  </r>
  <r>
    <x v="101"/>
    <x v="4"/>
    <d v="2026-07-20T00:00:00"/>
    <d v="1899-12-30T04:56:00"/>
    <x v="1"/>
    <m/>
    <m/>
  </r>
  <r>
    <x v="102"/>
    <x v="0"/>
    <d v="2026-07-20T00:00:00"/>
    <d v="1899-12-30T03:44:00"/>
    <x v="1"/>
    <m/>
    <m/>
  </r>
  <r>
    <x v="102"/>
    <x v="1"/>
    <d v="2026-07-20T00:00:00"/>
    <d v="1899-12-30T04:06:00"/>
    <x v="1"/>
    <m/>
    <m/>
  </r>
  <r>
    <x v="102"/>
    <x v="4"/>
    <d v="2026-07-20T00:00:00"/>
    <d v="1899-12-30T04:57:00"/>
    <x v="1"/>
    <m/>
    <m/>
  </r>
  <r>
    <x v="103"/>
    <x v="0"/>
    <d v="2026-07-20T00:00:00"/>
    <d v="1899-12-30T03:45:00"/>
    <x v="1"/>
    <m/>
    <m/>
  </r>
  <r>
    <x v="103"/>
    <x v="1"/>
    <d v="2026-07-20T00:00:00"/>
    <d v="1899-12-30T03:47:00"/>
    <x v="1"/>
    <m/>
    <m/>
  </r>
  <r>
    <x v="103"/>
    <x v="4"/>
    <d v="2026-07-20T00:00:00"/>
    <d v="1899-12-30T04:55:00"/>
    <x v="1"/>
    <m/>
    <m/>
  </r>
  <r>
    <x v="104"/>
    <x v="0"/>
    <d v="2026-07-20T00:00:00"/>
    <d v="1899-12-30T03:56:00"/>
    <x v="1"/>
    <m/>
    <m/>
  </r>
  <r>
    <x v="104"/>
    <x v="1"/>
    <d v="2026-07-20T00:00:00"/>
    <d v="1899-12-30T04:05:00"/>
    <x v="1"/>
    <m/>
    <m/>
  </r>
  <r>
    <x v="104"/>
    <x v="4"/>
    <d v="2026-07-20T00:00:00"/>
    <d v="1899-12-30T04:36:00"/>
    <x v="1"/>
    <m/>
    <m/>
  </r>
  <r>
    <x v="105"/>
    <x v="0"/>
    <d v="2026-07-20T00:00:00"/>
    <d v="1899-12-30T04:03:00"/>
    <x v="1"/>
    <m/>
    <m/>
  </r>
  <r>
    <x v="105"/>
    <x v="1"/>
    <d v="2026-07-20T00:00:00"/>
    <d v="1899-12-30T04:09:00"/>
    <x v="1"/>
    <m/>
    <m/>
  </r>
  <r>
    <x v="105"/>
    <x v="4"/>
    <d v="2026-07-20T00:00:00"/>
    <d v="1899-12-30T04:38:00"/>
    <x v="1"/>
    <m/>
    <m/>
  </r>
  <r>
    <x v="106"/>
    <x v="0"/>
    <d v="2026-07-20T00:00:00"/>
    <d v="1899-12-30T03:47:00"/>
    <x v="1"/>
    <m/>
    <m/>
  </r>
  <r>
    <x v="106"/>
    <x v="1"/>
    <d v="2026-07-20T00:00:00"/>
    <d v="1899-12-30T03:48:00"/>
    <x v="1"/>
    <m/>
    <m/>
  </r>
  <r>
    <x v="106"/>
    <x v="4"/>
    <d v="2026-07-20T00:00:00"/>
    <d v="1899-12-30T04:46:00"/>
    <x v="1"/>
    <m/>
    <m/>
  </r>
  <r>
    <x v="107"/>
    <x v="0"/>
    <d v="2026-07-20T00:00:00"/>
    <d v="1899-12-30T03:43:00"/>
    <x v="1"/>
    <m/>
    <m/>
  </r>
  <r>
    <x v="107"/>
    <x v="1"/>
    <d v="2026-07-20T00:00:00"/>
    <d v="1899-12-30T03:50:00"/>
    <x v="1"/>
    <m/>
    <m/>
  </r>
  <r>
    <x v="107"/>
    <x v="4"/>
    <d v="2026-07-20T00:00:00"/>
    <d v="1899-12-30T04:34:00"/>
    <x v="1"/>
    <m/>
    <m/>
  </r>
  <r>
    <x v="108"/>
    <x v="0"/>
    <d v="2026-07-20T00:00:00"/>
    <d v="1899-12-30T03:52:00"/>
    <x v="1"/>
    <m/>
    <m/>
  </r>
  <r>
    <x v="108"/>
    <x v="1"/>
    <d v="2026-07-20T00:00:00"/>
    <d v="1899-12-30T04:15:00"/>
    <x v="1"/>
    <m/>
    <m/>
  </r>
  <r>
    <x v="108"/>
    <x v="4"/>
    <d v="2026-07-20T00:00:00"/>
    <d v="1899-12-30T04:41:00"/>
    <x v="1"/>
    <m/>
    <m/>
  </r>
  <r>
    <x v="109"/>
    <x v="0"/>
    <d v="2026-07-20T00:00:00"/>
    <d v="1899-12-30T03:51:00"/>
    <x v="1"/>
    <m/>
    <m/>
  </r>
  <r>
    <x v="109"/>
    <x v="1"/>
    <d v="2026-07-20T00:00:00"/>
    <d v="1899-12-30T03:49:00"/>
    <x v="1"/>
    <m/>
    <m/>
  </r>
  <r>
    <x v="109"/>
    <x v="4"/>
    <d v="2026-07-20T00:00:00"/>
    <d v="1899-12-30T04:32:00"/>
    <x v="1"/>
    <m/>
    <m/>
  </r>
  <r>
    <x v="110"/>
    <x v="0"/>
    <d v="2026-07-20T00:00:00"/>
    <d v="1899-12-30T04:09:00"/>
    <x v="1"/>
    <m/>
    <m/>
  </r>
  <r>
    <x v="110"/>
    <x v="1"/>
    <d v="2026-07-20T00:00:00"/>
    <d v="1899-12-30T04:18:00"/>
    <x v="1"/>
    <m/>
    <m/>
  </r>
  <r>
    <x v="110"/>
    <x v="4"/>
    <d v="2026-07-20T00:00:00"/>
    <d v="1899-12-30T05:04:00"/>
    <x v="1"/>
    <m/>
    <m/>
  </r>
  <r>
    <x v="111"/>
    <x v="0"/>
    <d v="2026-07-20T00:00:00"/>
    <d v="1899-12-30T03:50:00"/>
    <x v="1"/>
    <m/>
    <m/>
  </r>
  <r>
    <x v="111"/>
    <x v="1"/>
    <d v="2026-07-20T00:00:00"/>
    <d v="1899-12-30T04:08:00"/>
    <x v="1"/>
    <m/>
    <m/>
  </r>
  <r>
    <x v="111"/>
    <x v="4"/>
    <d v="2026-07-20T00:00:00"/>
    <d v="1899-12-30T04:34:00"/>
    <x v="1"/>
    <m/>
    <m/>
  </r>
  <r>
    <x v="112"/>
    <x v="0"/>
    <d v="2026-07-20T00:00:00"/>
    <d v="1899-12-30T03:47:00"/>
    <x v="1"/>
    <m/>
    <m/>
  </r>
  <r>
    <x v="112"/>
    <x v="1"/>
    <d v="2026-07-20T00:00:00"/>
    <d v="1899-12-30T04:03:00"/>
    <x v="1"/>
    <m/>
    <m/>
  </r>
  <r>
    <x v="112"/>
    <x v="4"/>
    <d v="2026-07-20T00:00:00"/>
    <d v="1899-12-30T05:06:00"/>
    <x v="1"/>
    <m/>
    <m/>
  </r>
  <r>
    <x v="113"/>
    <x v="0"/>
    <d v="2026-07-20T00:00:00"/>
    <d v="1899-12-30T03:50:00"/>
    <x v="1"/>
    <m/>
    <m/>
  </r>
  <r>
    <x v="113"/>
    <x v="1"/>
    <d v="2026-07-20T00:00:00"/>
    <d v="1899-12-30T04:11:00"/>
    <x v="1"/>
    <m/>
    <m/>
  </r>
  <r>
    <x v="113"/>
    <x v="4"/>
    <d v="2026-07-20T00:00:00"/>
    <d v="1899-12-30T05:02:00"/>
    <x v="1"/>
    <m/>
    <m/>
  </r>
  <r>
    <x v="114"/>
    <x v="0"/>
    <d v="2026-07-20T00:00:00"/>
    <d v="1899-12-30T04:03:00"/>
    <x v="1"/>
    <m/>
    <m/>
  </r>
  <r>
    <x v="114"/>
    <x v="1"/>
    <d v="2026-07-20T00:00:00"/>
    <d v="1899-12-30T03:48:00"/>
    <x v="1"/>
    <m/>
    <m/>
  </r>
  <r>
    <x v="114"/>
    <x v="4"/>
    <d v="2026-07-20T00:00:00"/>
    <d v="1899-12-30T04:59:00"/>
    <x v="1"/>
    <m/>
    <m/>
  </r>
  <r>
    <x v="115"/>
    <x v="0"/>
    <d v="2026-07-20T00:00:00"/>
    <d v="1899-12-30T03:37:00"/>
    <x v="1"/>
    <m/>
    <m/>
  </r>
  <r>
    <x v="115"/>
    <x v="1"/>
    <d v="2026-07-20T00:00:00"/>
    <d v="1899-12-30T04:23:00"/>
    <x v="1"/>
    <m/>
    <m/>
  </r>
  <r>
    <x v="115"/>
    <x v="4"/>
    <d v="2026-07-20T00:00:00"/>
    <d v="1899-12-30T04:55:00"/>
    <x v="1"/>
    <m/>
    <m/>
  </r>
  <r>
    <x v="116"/>
    <x v="0"/>
    <d v="2026-07-20T00:00:00"/>
    <d v="1899-12-30T03:42:00"/>
    <x v="1"/>
    <m/>
    <m/>
  </r>
  <r>
    <x v="116"/>
    <x v="1"/>
    <d v="2026-07-20T00:00:00"/>
    <d v="1899-12-30T04:01:00"/>
    <x v="1"/>
    <m/>
    <m/>
  </r>
  <r>
    <x v="116"/>
    <x v="4"/>
    <d v="2026-07-20T00:00:00"/>
    <d v="1899-12-30T04:38:00"/>
    <x v="1"/>
    <m/>
    <m/>
  </r>
  <r>
    <x v="117"/>
    <x v="0"/>
    <d v="2026-07-20T00:00:00"/>
    <d v="1899-12-30T03:46:00"/>
    <x v="1"/>
    <m/>
    <m/>
  </r>
  <r>
    <x v="117"/>
    <x v="1"/>
    <d v="2026-07-20T00:00:00"/>
    <d v="1899-12-30T03:53:00"/>
    <x v="1"/>
    <m/>
    <m/>
  </r>
  <r>
    <x v="117"/>
    <x v="4"/>
    <d v="2026-07-20T00:00:00"/>
    <d v="1899-12-30T04:58:00"/>
    <x v="1"/>
    <m/>
    <m/>
  </r>
  <r>
    <x v="118"/>
    <x v="0"/>
    <d v="2026-07-20T00:00:00"/>
    <d v="1899-12-30T04:07:00"/>
    <x v="1"/>
    <m/>
    <m/>
  </r>
  <r>
    <x v="118"/>
    <x v="1"/>
    <d v="2026-07-20T00:00:00"/>
    <d v="1899-12-30T04:11:00"/>
    <x v="1"/>
    <m/>
    <m/>
  </r>
  <r>
    <x v="118"/>
    <x v="4"/>
    <d v="2026-07-20T00:00:00"/>
    <d v="1899-12-30T04:36:00"/>
    <x v="1"/>
    <m/>
    <m/>
  </r>
  <r>
    <x v="119"/>
    <x v="0"/>
    <d v="2026-07-20T00:00:00"/>
    <d v="1899-12-30T03:48:00"/>
    <x v="1"/>
    <m/>
    <m/>
  </r>
  <r>
    <x v="119"/>
    <x v="1"/>
    <d v="2026-07-20T00:00:00"/>
    <d v="1899-12-30T04:09:00"/>
    <x v="1"/>
    <m/>
    <m/>
  </r>
  <r>
    <x v="119"/>
    <x v="4"/>
    <d v="2026-07-20T00:00:00"/>
    <d v="1899-12-30T04:40:00"/>
    <x v="1"/>
    <m/>
    <m/>
  </r>
  <r>
    <x v="120"/>
    <x v="0"/>
    <d v="2026-07-20T00:00:00"/>
    <d v="1899-12-30T04:01:00"/>
    <x v="1"/>
    <m/>
    <m/>
  </r>
  <r>
    <x v="120"/>
    <x v="1"/>
    <d v="2026-07-20T00:00:00"/>
    <d v="1899-12-30T04:18:00"/>
    <x v="1"/>
    <m/>
    <m/>
  </r>
  <r>
    <x v="120"/>
    <x v="4"/>
    <d v="2026-07-20T00:00:00"/>
    <d v="1899-12-30T04:43:00"/>
    <x v="1"/>
    <m/>
    <m/>
  </r>
  <r>
    <x v="121"/>
    <x v="0"/>
    <d v="2026-07-20T00:00:00"/>
    <d v="1899-12-30T03:54:00"/>
    <x v="1"/>
    <m/>
    <m/>
  </r>
  <r>
    <x v="121"/>
    <x v="1"/>
    <d v="2026-07-20T00:00:00"/>
    <d v="1899-12-30T04:00:00"/>
    <x v="1"/>
    <m/>
    <m/>
  </r>
  <r>
    <x v="121"/>
    <x v="4"/>
    <d v="2026-07-20T00:00:00"/>
    <d v="1899-12-30T04:41:00"/>
    <x v="1"/>
    <m/>
    <m/>
  </r>
  <r>
    <x v="122"/>
    <x v="0"/>
    <d v="2026-07-20T00:00:00"/>
    <d v="1899-12-30T03:51:00"/>
    <x v="1"/>
    <m/>
    <m/>
  </r>
  <r>
    <x v="122"/>
    <x v="1"/>
    <d v="2026-07-20T00:00:00"/>
    <d v="1899-12-30T03:50:00"/>
    <x v="1"/>
    <m/>
    <m/>
  </r>
  <r>
    <x v="122"/>
    <x v="4"/>
    <d v="2026-07-20T00:00:00"/>
    <d v="1899-12-30T05:09:00"/>
    <x v="1"/>
    <m/>
    <m/>
  </r>
  <r>
    <x v="123"/>
    <x v="0"/>
    <d v="2026-07-20T00:00:00"/>
    <d v="1899-12-30T03:37:00"/>
    <x v="1"/>
    <m/>
    <m/>
  </r>
  <r>
    <x v="123"/>
    <x v="1"/>
    <d v="2026-07-20T00:00:00"/>
    <d v="1899-12-30T03:49:00"/>
    <x v="1"/>
    <m/>
    <m/>
  </r>
  <r>
    <x v="123"/>
    <x v="4"/>
    <d v="2026-07-20T00:00:00"/>
    <d v="1899-12-30T04:49:00"/>
    <x v="1"/>
    <m/>
    <m/>
  </r>
  <r>
    <x v="124"/>
    <x v="0"/>
    <d v="2026-07-20T00:00:00"/>
    <d v="1899-12-30T03:39:00"/>
    <x v="1"/>
    <m/>
    <m/>
  </r>
  <r>
    <x v="124"/>
    <x v="1"/>
    <d v="2026-07-20T00:00:00"/>
    <d v="1899-12-30T03:46:00"/>
    <x v="1"/>
    <m/>
    <m/>
  </r>
  <r>
    <x v="124"/>
    <x v="4"/>
    <d v="2026-07-20T00:00:00"/>
    <d v="1899-12-30T04:38:00"/>
    <x v="1"/>
    <m/>
    <m/>
  </r>
  <r>
    <x v="125"/>
    <x v="0"/>
    <d v="2026-07-20T00:00:00"/>
    <d v="1899-12-30T03:36:00"/>
    <x v="1"/>
    <m/>
    <m/>
  </r>
  <r>
    <x v="125"/>
    <x v="1"/>
    <d v="2026-07-20T00:00:00"/>
    <d v="1899-12-30T04:07:00"/>
    <x v="1"/>
    <m/>
    <m/>
  </r>
  <r>
    <x v="125"/>
    <x v="4"/>
    <d v="2026-07-20T00:00:00"/>
    <d v="1899-12-30T05:02:00"/>
    <x v="1"/>
    <m/>
    <m/>
  </r>
  <r>
    <x v="126"/>
    <x v="0"/>
    <d v="2026-07-20T00:00:00"/>
    <d v="1899-12-30T03:50:00"/>
    <x v="1"/>
    <m/>
    <m/>
  </r>
  <r>
    <x v="126"/>
    <x v="1"/>
    <d v="2026-07-20T00:00:00"/>
    <d v="1899-12-30T03:54:00"/>
    <x v="1"/>
    <m/>
    <m/>
  </r>
  <r>
    <x v="126"/>
    <x v="4"/>
    <d v="2026-07-20T00:00:00"/>
    <d v="1899-12-30T04:34:00"/>
    <x v="1"/>
    <m/>
    <m/>
  </r>
  <r>
    <x v="127"/>
    <x v="0"/>
    <d v="2026-07-20T00:00:00"/>
    <d v="1899-12-30T04:02:00"/>
    <x v="1"/>
    <m/>
    <m/>
  </r>
  <r>
    <x v="127"/>
    <x v="1"/>
    <d v="2026-07-20T00:00:00"/>
    <d v="1899-12-30T04:09:00"/>
    <x v="1"/>
    <m/>
    <m/>
  </r>
  <r>
    <x v="127"/>
    <x v="4"/>
    <d v="2026-07-20T00:00:00"/>
    <d v="1899-12-30T05:04:00"/>
    <x v="1"/>
    <m/>
    <m/>
  </r>
  <r>
    <x v="128"/>
    <x v="0"/>
    <d v="2026-07-20T00:00:00"/>
    <d v="1899-12-30T03:52:00"/>
    <x v="1"/>
    <m/>
    <m/>
  </r>
  <r>
    <x v="128"/>
    <x v="1"/>
    <d v="2026-07-20T00:00:00"/>
    <d v="1899-12-30T03:51:00"/>
    <x v="1"/>
    <m/>
    <m/>
  </r>
  <r>
    <x v="128"/>
    <x v="4"/>
    <d v="2026-07-20T00:00:00"/>
    <d v="1899-12-30T04:48:00"/>
    <x v="1"/>
    <m/>
    <m/>
  </r>
  <r>
    <x v="129"/>
    <x v="0"/>
    <d v="2026-07-20T00:00:00"/>
    <d v="1899-12-30T03:46:00"/>
    <x v="1"/>
    <m/>
    <m/>
  </r>
  <r>
    <x v="129"/>
    <x v="1"/>
    <d v="2026-07-20T00:00:00"/>
    <d v="1899-12-30T03:59:00"/>
    <x v="1"/>
    <m/>
    <m/>
  </r>
  <r>
    <x v="129"/>
    <x v="4"/>
    <d v="2026-07-20T00:00:00"/>
    <d v="1899-12-30T04:43:00"/>
    <x v="1"/>
    <m/>
    <m/>
  </r>
  <r>
    <x v="130"/>
    <x v="0"/>
    <d v="2026-07-20T00:00:00"/>
    <d v="1899-12-30T04:06:00"/>
    <x v="1"/>
    <m/>
    <m/>
  </r>
  <r>
    <x v="130"/>
    <x v="1"/>
    <d v="2026-07-20T00:00:00"/>
    <d v="1899-12-30T04:03:00"/>
    <x v="1"/>
    <m/>
    <m/>
  </r>
  <r>
    <x v="130"/>
    <x v="4"/>
    <d v="2026-07-20T00:00:00"/>
    <d v="1899-12-30T04:56:00"/>
    <x v="1"/>
    <m/>
    <m/>
  </r>
  <r>
    <x v="131"/>
    <x v="0"/>
    <d v="2026-07-20T00:00:00"/>
    <d v="1899-12-30T03:49:00"/>
    <x v="1"/>
    <m/>
    <m/>
  </r>
  <r>
    <x v="131"/>
    <x v="1"/>
    <d v="2026-07-20T00:00:00"/>
    <d v="1899-12-30T04:10:00"/>
    <x v="1"/>
    <m/>
    <m/>
  </r>
  <r>
    <x v="131"/>
    <x v="4"/>
    <d v="2026-07-20T00:00:00"/>
    <d v="1899-12-30T04:33:00"/>
    <x v="1"/>
    <m/>
    <m/>
  </r>
  <r>
    <x v="132"/>
    <x v="0"/>
    <d v="2026-07-20T00:00:00"/>
    <d v="1899-12-30T03:50:00"/>
    <x v="1"/>
    <m/>
    <m/>
  </r>
  <r>
    <x v="132"/>
    <x v="1"/>
    <d v="2026-07-20T00:00:00"/>
    <d v="1899-12-30T03:48:00"/>
    <x v="1"/>
    <m/>
    <m/>
  </r>
  <r>
    <x v="132"/>
    <x v="4"/>
    <d v="2026-07-20T00:00:00"/>
    <d v="1899-12-30T04:41:00"/>
    <x v="1"/>
    <m/>
    <m/>
  </r>
  <r>
    <x v="133"/>
    <x v="0"/>
    <d v="2026-07-20T00:00:00"/>
    <d v="1899-12-30T03:46:00"/>
    <x v="1"/>
    <m/>
    <m/>
  </r>
  <r>
    <x v="133"/>
    <x v="1"/>
    <d v="2026-07-20T00:00:00"/>
    <d v="1899-12-30T03:55:00"/>
    <x v="1"/>
    <m/>
    <m/>
  </r>
  <r>
    <x v="133"/>
    <x v="4"/>
    <d v="2026-07-20T00:00:00"/>
    <d v="1899-12-30T04:34:00"/>
    <x v="1"/>
    <m/>
    <m/>
  </r>
  <r>
    <x v="134"/>
    <x v="0"/>
    <d v="2026-07-20T00:00:00"/>
    <d v="1899-12-30T04:04:00"/>
    <x v="1"/>
    <m/>
    <m/>
  </r>
  <r>
    <x v="134"/>
    <x v="1"/>
    <d v="2026-07-20T00:00:00"/>
    <d v="1899-12-30T03:48:00"/>
    <x v="1"/>
    <m/>
    <m/>
  </r>
  <r>
    <x v="134"/>
    <x v="4"/>
    <d v="2026-07-20T00:00:00"/>
    <d v="1899-12-30T04:41:00"/>
    <x v="1"/>
    <m/>
    <m/>
  </r>
  <r>
    <x v="135"/>
    <x v="0"/>
    <d v="2026-07-20T00:00:00"/>
    <d v="1899-12-30T03:59:00"/>
    <x v="1"/>
    <m/>
    <m/>
  </r>
  <r>
    <x v="135"/>
    <x v="1"/>
    <d v="2026-07-20T00:00:00"/>
    <d v="1899-12-30T04:15:00"/>
    <x v="1"/>
    <m/>
    <m/>
  </r>
  <r>
    <x v="135"/>
    <x v="4"/>
    <d v="2026-07-20T00:00:00"/>
    <d v="1899-12-30T04:42:00"/>
    <x v="1"/>
    <m/>
    <m/>
  </r>
  <r>
    <x v="136"/>
    <x v="0"/>
    <d v="2026-07-20T00:00:00"/>
    <d v="1899-12-30T03:58:00"/>
    <x v="1"/>
    <m/>
    <m/>
  </r>
  <r>
    <x v="136"/>
    <x v="1"/>
    <d v="2026-07-20T00:00:00"/>
    <d v="1899-12-30T04:03:00"/>
    <x v="1"/>
    <m/>
    <m/>
  </r>
  <r>
    <x v="136"/>
    <x v="4"/>
    <d v="2026-07-20T00:00:00"/>
    <d v="1899-12-30T04:32:00"/>
    <x v="1"/>
    <m/>
    <m/>
  </r>
  <r>
    <x v="137"/>
    <x v="0"/>
    <d v="2026-07-20T00:00:00"/>
    <d v="1899-12-30T04:00:00"/>
    <x v="1"/>
    <m/>
    <m/>
  </r>
  <r>
    <x v="137"/>
    <x v="1"/>
    <d v="2026-07-20T00:00:00"/>
    <d v="1899-12-30T04:18:00"/>
    <x v="1"/>
    <m/>
    <m/>
  </r>
  <r>
    <x v="137"/>
    <x v="4"/>
    <d v="2026-07-20T00:00:00"/>
    <d v="1899-12-30T04:38:00"/>
    <x v="1"/>
    <m/>
    <m/>
  </r>
  <r>
    <x v="138"/>
    <x v="0"/>
    <d v="2026-07-20T00:00:00"/>
    <d v="1899-12-30T03:44:00"/>
    <x v="1"/>
    <m/>
    <m/>
  </r>
  <r>
    <x v="138"/>
    <x v="1"/>
    <d v="2026-07-20T00:00:00"/>
    <d v="1899-12-30T04:04:00"/>
    <x v="1"/>
    <m/>
    <m/>
  </r>
  <r>
    <x v="138"/>
    <x v="4"/>
    <d v="2026-07-20T00:00:00"/>
    <d v="1899-12-30T04:54:00"/>
    <x v="1"/>
    <m/>
    <m/>
  </r>
  <r>
    <x v="139"/>
    <x v="0"/>
    <d v="2026-07-20T00:00:00"/>
    <d v="1899-12-30T03:49:00"/>
    <x v="1"/>
    <m/>
    <m/>
  </r>
  <r>
    <x v="139"/>
    <x v="1"/>
    <d v="2026-07-20T00:00:00"/>
    <d v="1899-12-30T04:15:00"/>
    <x v="1"/>
    <m/>
    <m/>
  </r>
  <r>
    <x v="139"/>
    <x v="4"/>
    <d v="2026-07-20T00:00:00"/>
    <d v="1899-12-30T04:32:00"/>
    <x v="1"/>
    <m/>
    <m/>
  </r>
  <r>
    <x v="140"/>
    <x v="0"/>
    <d v="2026-07-20T00:00:00"/>
    <d v="1899-12-30T03:58:00"/>
    <x v="1"/>
    <m/>
    <m/>
  </r>
  <r>
    <x v="140"/>
    <x v="1"/>
    <d v="2026-07-20T00:00:00"/>
    <d v="1899-12-30T03:48:00"/>
    <x v="1"/>
    <m/>
    <m/>
  </r>
  <r>
    <x v="140"/>
    <x v="4"/>
    <d v="2026-07-20T00:00:00"/>
    <d v="1899-12-30T04:33:00"/>
    <x v="1"/>
    <m/>
    <m/>
  </r>
  <r>
    <x v="141"/>
    <x v="0"/>
    <d v="2026-07-20T00:00:00"/>
    <d v="1899-12-30T04:05:00"/>
    <x v="1"/>
    <m/>
    <m/>
  </r>
  <r>
    <x v="141"/>
    <x v="1"/>
    <d v="2026-07-20T00:00:00"/>
    <d v="1899-12-30T03:47:00"/>
    <x v="1"/>
    <m/>
    <m/>
  </r>
  <r>
    <x v="141"/>
    <x v="4"/>
    <d v="2026-07-20T00:00:00"/>
    <d v="1899-12-30T04:49:00"/>
    <x v="1"/>
    <m/>
    <m/>
  </r>
  <r>
    <x v="142"/>
    <x v="0"/>
    <d v="2026-07-20T00:00:00"/>
    <d v="1899-12-30T03:47:00"/>
    <x v="1"/>
    <m/>
    <m/>
  </r>
  <r>
    <x v="142"/>
    <x v="1"/>
    <d v="2026-07-20T00:00:00"/>
    <d v="1899-12-30T03:51:00"/>
    <x v="1"/>
    <m/>
    <m/>
  </r>
  <r>
    <x v="143"/>
    <x v="0"/>
    <d v="2026-07-20T00:00:00"/>
    <d v="1899-12-30T04:07:00"/>
    <x v="1"/>
    <m/>
    <m/>
  </r>
  <r>
    <x v="143"/>
    <x v="1"/>
    <d v="2026-07-20T00:00:00"/>
    <d v="1899-12-30T04:11:00"/>
    <x v="1"/>
    <m/>
    <m/>
  </r>
  <r>
    <x v="144"/>
    <x v="0"/>
    <d v="2026-07-20T00:00:00"/>
    <d v="1899-12-30T03:51:00"/>
    <x v="1"/>
    <m/>
    <m/>
  </r>
  <r>
    <x v="144"/>
    <x v="1"/>
    <d v="2026-07-20T00:00:00"/>
    <d v="1899-12-30T03:45:00"/>
    <x v="1"/>
    <m/>
    <m/>
  </r>
  <r>
    <x v="145"/>
    <x v="0"/>
    <d v="2026-07-20T00:00:00"/>
    <d v="1899-12-30T03:53:00"/>
    <x v="1"/>
    <m/>
    <m/>
  </r>
  <r>
    <x v="145"/>
    <x v="1"/>
    <d v="2026-07-20T00:00:00"/>
    <d v="1899-12-30T03:55:00"/>
    <x v="1"/>
    <m/>
    <m/>
  </r>
  <r>
    <x v="146"/>
    <x v="0"/>
    <d v="2026-07-20T00:00:00"/>
    <d v="1899-12-30T03:44:00"/>
    <x v="1"/>
    <m/>
    <m/>
  </r>
  <r>
    <x v="146"/>
    <x v="1"/>
    <d v="2026-07-20T00:00:00"/>
    <d v="1899-12-30T04:21:00"/>
    <x v="1"/>
    <m/>
    <m/>
  </r>
  <r>
    <x v="147"/>
    <x v="0"/>
    <d v="2026-07-20T00:00:00"/>
    <d v="1899-12-30T03:32:00"/>
    <x v="1"/>
    <m/>
    <m/>
  </r>
  <r>
    <x v="147"/>
    <x v="1"/>
    <d v="2026-07-20T00:00:00"/>
    <d v="1899-12-30T04:01:00"/>
    <x v="1"/>
    <m/>
    <m/>
  </r>
  <r>
    <x v="148"/>
    <x v="0"/>
    <d v="2026-07-20T00:00:00"/>
    <d v="1899-12-30T03:44:00"/>
    <x v="1"/>
    <m/>
    <m/>
  </r>
  <r>
    <x v="148"/>
    <x v="1"/>
    <d v="2026-07-20T00:00:00"/>
    <d v="1899-12-30T04:14:00"/>
    <x v="1"/>
    <m/>
    <m/>
  </r>
  <r>
    <x v="149"/>
    <x v="0"/>
    <d v="2026-07-20T00:00:00"/>
    <d v="1899-12-30T03:36:00"/>
    <x v="1"/>
    <m/>
    <m/>
  </r>
  <r>
    <x v="149"/>
    <x v="1"/>
    <d v="2026-07-20T00:00:00"/>
    <d v="1899-12-30T03:59:00"/>
    <x v="1"/>
    <m/>
    <m/>
  </r>
  <r>
    <x v="150"/>
    <x v="0"/>
    <d v="2026-07-20T00:00:00"/>
    <d v="1899-12-30T03:30:00"/>
    <x v="1"/>
    <m/>
    <m/>
  </r>
  <r>
    <x v="150"/>
    <x v="2"/>
    <d v="2026-07-20T00:00:00"/>
    <d v="1899-12-30T04:05:00"/>
    <x v="1"/>
    <m/>
    <m/>
  </r>
  <r>
    <x v="151"/>
    <x v="0"/>
    <d v="2026-07-20T00:00:00"/>
    <d v="1899-12-30T03:47:00"/>
    <x v="1"/>
    <m/>
    <m/>
  </r>
  <r>
    <x v="151"/>
    <x v="2"/>
    <d v="2026-07-20T00:00:00"/>
    <d v="1899-12-30T04:01:00"/>
    <x v="1"/>
    <m/>
    <m/>
  </r>
  <r>
    <x v="152"/>
    <x v="0"/>
    <d v="2026-07-20T00:00:00"/>
    <d v="1899-12-30T03:41:00"/>
    <x v="1"/>
    <m/>
    <m/>
  </r>
  <r>
    <x v="152"/>
    <x v="2"/>
    <d v="2026-07-20T00:00:00"/>
    <d v="1899-12-30T04:20:00"/>
    <x v="1"/>
    <m/>
    <m/>
  </r>
  <r>
    <x v="153"/>
    <x v="0"/>
    <d v="2026-07-20T00:00:00"/>
    <d v="1899-12-30T03:33:00"/>
    <x v="1"/>
    <m/>
    <m/>
  </r>
  <r>
    <x v="153"/>
    <x v="2"/>
    <d v="2026-07-20T00:00:00"/>
    <d v="1899-12-30T04:34:00"/>
    <x v="1"/>
    <m/>
    <m/>
  </r>
  <r>
    <x v="154"/>
    <x v="0"/>
    <d v="2026-07-20T00:00:00"/>
    <d v="1899-12-30T03:45:00"/>
    <x v="1"/>
    <m/>
    <m/>
  </r>
  <r>
    <x v="154"/>
    <x v="2"/>
    <d v="2026-07-20T00:00:00"/>
    <d v="1899-12-30T04:03:00"/>
    <x v="1"/>
    <m/>
    <m/>
  </r>
  <r>
    <x v="155"/>
    <x v="0"/>
    <d v="2026-07-20T00:00:00"/>
    <d v="1899-12-30T03:55:00"/>
    <x v="1"/>
    <m/>
    <m/>
  </r>
  <r>
    <x v="155"/>
    <x v="2"/>
    <d v="2026-07-20T00:00:00"/>
    <d v="1899-12-30T04:13:00"/>
    <x v="1"/>
    <m/>
    <m/>
  </r>
  <r>
    <x v="156"/>
    <x v="0"/>
    <d v="2026-07-20T00:00:00"/>
    <d v="1899-12-30T03:31:00"/>
    <x v="1"/>
    <m/>
    <m/>
  </r>
  <r>
    <x v="156"/>
    <x v="2"/>
    <d v="2026-07-20T00:00:00"/>
    <d v="1899-12-30T04:32:00"/>
    <x v="1"/>
    <m/>
    <m/>
  </r>
  <r>
    <x v="157"/>
    <x v="0"/>
    <d v="2026-07-20T00:00:00"/>
    <d v="1899-12-30T03:40:00"/>
    <x v="1"/>
    <m/>
    <m/>
  </r>
  <r>
    <x v="157"/>
    <x v="2"/>
    <d v="2026-07-20T00:00:00"/>
    <d v="1899-12-30T04:08:00"/>
    <x v="1"/>
    <m/>
    <m/>
  </r>
  <r>
    <x v="158"/>
    <x v="0"/>
    <d v="2026-07-20T00:00:00"/>
    <d v="1899-12-30T03:37:00"/>
    <x v="1"/>
    <m/>
    <m/>
  </r>
  <r>
    <x v="158"/>
    <x v="2"/>
    <d v="2026-07-20T00:00:00"/>
    <d v="1899-12-30T04:05:00"/>
    <x v="1"/>
    <m/>
    <m/>
  </r>
  <r>
    <x v="159"/>
    <x v="0"/>
    <d v="2026-07-20T00:00:00"/>
    <d v="1899-12-30T03:40:00"/>
    <x v="1"/>
    <m/>
    <m/>
  </r>
  <r>
    <x v="159"/>
    <x v="2"/>
    <d v="2026-07-20T00:00:00"/>
    <d v="1899-12-30T04:09:00"/>
    <x v="1"/>
    <m/>
    <m/>
  </r>
  <r>
    <x v="160"/>
    <x v="0"/>
    <d v="2026-07-20T00:00:00"/>
    <d v="1899-12-30T03:37:00"/>
    <x v="1"/>
    <m/>
    <m/>
  </r>
  <r>
    <x v="160"/>
    <x v="2"/>
    <d v="2026-07-20T00:00:00"/>
    <d v="1899-12-30T04:09:00"/>
    <x v="1"/>
    <m/>
    <m/>
  </r>
  <r>
    <x v="161"/>
    <x v="0"/>
    <d v="2026-07-20T00:00:00"/>
    <d v="1899-12-30T04:01:00"/>
    <x v="1"/>
    <m/>
    <m/>
  </r>
  <r>
    <x v="161"/>
    <x v="2"/>
    <d v="2026-07-20T00:00:00"/>
    <d v="1899-12-30T04:32:00"/>
    <x v="1"/>
    <m/>
    <m/>
  </r>
  <r>
    <x v="162"/>
    <x v="0"/>
    <d v="2026-07-20T00:00:00"/>
    <d v="1899-12-30T03:48:00"/>
    <x v="1"/>
    <m/>
    <m/>
  </r>
  <r>
    <x v="162"/>
    <x v="2"/>
    <d v="2026-07-20T00:00:00"/>
    <d v="1899-12-30T04:14:00"/>
    <x v="1"/>
    <m/>
    <m/>
  </r>
  <r>
    <x v="163"/>
    <x v="0"/>
    <d v="2026-07-20T00:00:00"/>
    <d v="1899-12-30T03:36:00"/>
    <x v="1"/>
    <m/>
    <m/>
  </r>
  <r>
    <x v="163"/>
    <x v="2"/>
    <d v="2026-07-20T00:00:00"/>
    <d v="1899-12-30T04:14:00"/>
    <x v="1"/>
    <m/>
    <m/>
  </r>
  <r>
    <x v="164"/>
    <x v="0"/>
    <d v="2026-07-20T00:00:00"/>
    <d v="1899-12-30T03:32:00"/>
    <x v="1"/>
    <m/>
    <m/>
  </r>
  <r>
    <x v="164"/>
    <x v="2"/>
    <d v="2026-07-20T00:00:00"/>
    <d v="1899-12-30T04:28:00"/>
    <x v="1"/>
    <m/>
    <m/>
  </r>
  <r>
    <x v="165"/>
    <x v="0"/>
    <d v="2026-07-20T00:00:00"/>
    <d v="1899-12-30T03:48:00"/>
    <x v="1"/>
    <m/>
    <m/>
  </r>
  <r>
    <x v="165"/>
    <x v="2"/>
    <d v="2026-07-20T00:00:00"/>
    <d v="1899-12-30T04:28:00"/>
    <x v="1"/>
    <m/>
    <m/>
  </r>
  <r>
    <x v="166"/>
    <x v="0"/>
    <d v="2026-07-20T00:00:00"/>
    <d v="1899-12-30T03:42:00"/>
    <x v="1"/>
    <m/>
    <m/>
  </r>
  <r>
    <x v="166"/>
    <x v="2"/>
    <d v="2026-07-20T00:00:00"/>
    <d v="1899-12-30T04:00:00"/>
    <x v="1"/>
    <m/>
    <m/>
  </r>
  <r>
    <x v="167"/>
    <x v="0"/>
    <d v="2026-07-20T00:00:00"/>
    <d v="1899-12-30T04:00:00"/>
    <x v="1"/>
    <m/>
    <m/>
  </r>
  <r>
    <x v="167"/>
    <x v="2"/>
    <d v="2026-07-20T00:00:00"/>
    <d v="1899-12-30T04:17:00"/>
    <x v="1"/>
    <m/>
    <m/>
  </r>
  <r>
    <x v="168"/>
    <x v="0"/>
    <d v="2026-07-20T00:00:00"/>
    <d v="1899-12-30T04:04:00"/>
    <x v="1"/>
    <m/>
    <m/>
  </r>
  <r>
    <x v="168"/>
    <x v="2"/>
    <d v="2026-07-20T00:00:00"/>
    <d v="1899-12-30T04:07:00"/>
    <x v="1"/>
    <m/>
    <m/>
  </r>
  <r>
    <x v="169"/>
    <x v="0"/>
    <d v="2026-07-20T00:00:00"/>
    <d v="1899-12-30T04:01:00"/>
    <x v="1"/>
    <m/>
    <m/>
  </r>
  <r>
    <x v="169"/>
    <x v="2"/>
    <d v="2026-07-20T00:00:00"/>
    <d v="1899-12-30T04:29:00"/>
    <x v="1"/>
    <m/>
    <m/>
  </r>
  <r>
    <x v="170"/>
    <x v="0"/>
    <d v="2026-07-20T00:00:00"/>
    <d v="1899-12-30T03:50:00"/>
    <x v="1"/>
    <m/>
    <m/>
  </r>
  <r>
    <x v="170"/>
    <x v="2"/>
    <d v="2026-07-20T00:00:00"/>
    <d v="1899-12-30T04:05:00"/>
    <x v="1"/>
    <m/>
    <m/>
  </r>
  <r>
    <x v="171"/>
    <x v="0"/>
    <d v="2026-07-20T00:00:00"/>
    <d v="1899-12-30T03:31:00"/>
    <x v="1"/>
    <m/>
    <m/>
  </r>
  <r>
    <x v="171"/>
    <x v="2"/>
    <d v="2026-07-20T00:00:00"/>
    <d v="1899-12-30T04:05:00"/>
    <x v="1"/>
    <m/>
    <m/>
  </r>
  <r>
    <x v="172"/>
    <x v="0"/>
    <d v="2026-07-20T00:00:00"/>
    <d v="1899-12-30T04:00:00"/>
    <x v="1"/>
    <m/>
    <m/>
  </r>
  <r>
    <x v="172"/>
    <x v="2"/>
    <d v="2026-07-20T00:00:00"/>
    <d v="1899-12-30T04:07:00"/>
    <x v="1"/>
    <m/>
    <m/>
  </r>
  <r>
    <x v="173"/>
    <x v="0"/>
    <d v="2026-07-20T00:00:00"/>
    <d v="1899-12-30T03:42:00"/>
    <x v="1"/>
    <m/>
    <m/>
  </r>
  <r>
    <x v="173"/>
    <x v="2"/>
    <d v="2026-07-20T00:00:00"/>
    <d v="1899-12-30T04:09:00"/>
    <x v="1"/>
    <m/>
    <m/>
  </r>
  <r>
    <x v="174"/>
    <x v="0"/>
    <d v="2026-07-20T00:00:00"/>
    <d v="1899-12-30T03:35:00"/>
    <x v="1"/>
    <m/>
    <m/>
  </r>
  <r>
    <x v="174"/>
    <x v="2"/>
    <d v="2026-07-20T00:00:00"/>
    <d v="1899-12-30T04:38:00"/>
    <x v="1"/>
    <m/>
    <m/>
  </r>
  <r>
    <x v="175"/>
    <x v="0"/>
    <d v="2026-07-20T00:00:00"/>
    <d v="1899-12-30T03:39:00"/>
    <x v="1"/>
    <m/>
    <m/>
  </r>
  <r>
    <x v="175"/>
    <x v="2"/>
    <d v="2026-07-20T00:00:00"/>
    <d v="1899-12-30T04:19:00"/>
    <x v="1"/>
    <m/>
    <m/>
  </r>
  <r>
    <x v="176"/>
    <x v="0"/>
    <d v="2026-07-20T00:00:00"/>
    <d v="1899-12-30T03:47:00"/>
    <x v="1"/>
    <m/>
    <m/>
  </r>
  <r>
    <x v="176"/>
    <x v="2"/>
    <d v="2026-07-20T00:00:00"/>
    <d v="1899-12-30T04:11:00"/>
    <x v="1"/>
    <m/>
    <m/>
  </r>
  <r>
    <x v="177"/>
    <x v="0"/>
    <d v="2026-07-20T00:00:00"/>
    <d v="1899-12-30T03:41:00"/>
    <x v="1"/>
    <m/>
    <m/>
  </r>
  <r>
    <x v="177"/>
    <x v="2"/>
    <d v="2026-07-20T00:00:00"/>
    <d v="1899-12-30T04:31:00"/>
    <x v="1"/>
    <m/>
    <m/>
  </r>
  <r>
    <x v="178"/>
    <x v="0"/>
    <d v="2026-07-20T00:00:00"/>
    <d v="1899-12-30T04:05:00"/>
    <x v="1"/>
    <m/>
    <m/>
  </r>
  <r>
    <x v="178"/>
    <x v="2"/>
    <d v="2026-07-20T00:00:00"/>
    <d v="1899-12-30T04:02:00"/>
    <x v="1"/>
    <m/>
    <m/>
  </r>
  <r>
    <x v="179"/>
    <x v="0"/>
    <d v="2026-07-20T00:00:00"/>
    <d v="1899-12-30T03:38:00"/>
    <x v="1"/>
    <m/>
    <m/>
  </r>
  <r>
    <x v="179"/>
    <x v="2"/>
    <d v="2026-07-20T00:00:00"/>
    <d v="1899-12-30T04:39:00"/>
    <x v="1"/>
    <m/>
    <m/>
  </r>
  <r>
    <x v="180"/>
    <x v="0"/>
    <d v="2026-07-20T00:00:00"/>
    <d v="1899-12-30T03:58:00"/>
    <x v="1"/>
    <m/>
    <m/>
  </r>
  <r>
    <x v="180"/>
    <x v="2"/>
    <d v="2026-07-20T00:00:00"/>
    <d v="1899-12-30T04:21:00"/>
    <x v="1"/>
    <m/>
    <m/>
  </r>
  <r>
    <x v="181"/>
    <x v="0"/>
    <d v="2026-07-20T00:00:00"/>
    <d v="1899-12-30T04:04:00"/>
    <x v="1"/>
    <m/>
    <m/>
  </r>
  <r>
    <x v="181"/>
    <x v="2"/>
    <d v="2026-07-20T00:00:00"/>
    <d v="1899-12-30T04:10:00"/>
    <x v="1"/>
    <m/>
    <m/>
  </r>
  <r>
    <x v="182"/>
    <x v="0"/>
    <d v="2026-07-20T00:00:00"/>
    <d v="1899-12-30T03:50:00"/>
    <x v="1"/>
    <m/>
    <m/>
  </r>
  <r>
    <x v="182"/>
    <x v="2"/>
    <d v="2026-07-20T00:00:00"/>
    <d v="1899-12-30T04:10:00"/>
    <x v="1"/>
    <m/>
    <m/>
  </r>
  <r>
    <x v="183"/>
    <x v="0"/>
    <d v="2026-07-20T00:00:00"/>
    <d v="1899-12-30T03:36:00"/>
    <x v="1"/>
    <m/>
    <m/>
  </r>
  <r>
    <x v="183"/>
    <x v="2"/>
    <d v="2026-07-20T00:00:00"/>
    <d v="1899-12-30T04:33:00"/>
    <x v="1"/>
    <m/>
    <m/>
  </r>
  <r>
    <x v="184"/>
    <x v="0"/>
    <d v="2026-07-20T00:00:00"/>
    <d v="1899-12-30T04:02:00"/>
    <x v="1"/>
    <m/>
    <m/>
  </r>
  <r>
    <x v="184"/>
    <x v="2"/>
    <d v="2026-07-20T00:00:00"/>
    <d v="1899-12-30T04:36:00"/>
    <x v="1"/>
    <m/>
    <m/>
  </r>
  <r>
    <x v="185"/>
    <x v="0"/>
    <d v="2026-07-20T00:00:00"/>
    <d v="1899-12-30T03:58:00"/>
    <x v="1"/>
    <m/>
    <m/>
  </r>
  <r>
    <x v="185"/>
    <x v="2"/>
    <d v="2026-07-20T00:00:00"/>
    <d v="1899-12-30T04:02:00"/>
    <x v="1"/>
    <m/>
    <m/>
  </r>
  <r>
    <x v="186"/>
    <x v="0"/>
    <d v="2026-07-20T00:00:00"/>
    <d v="1899-12-30T04:01:00"/>
    <x v="1"/>
    <m/>
    <m/>
  </r>
  <r>
    <x v="186"/>
    <x v="2"/>
    <d v="2026-07-20T00:00:00"/>
    <d v="1899-12-30T04:38:00"/>
    <x v="1"/>
    <m/>
    <m/>
  </r>
  <r>
    <x v="187"/>
    <x v="0"/>
    <d v="2026-07-20T00:00:00"/>
    <d v="1899-12-30T03:57:00"/>
    <x v="1"/>
    <m/>
    <m/>
  </r>
  <r>
    <x v="187"/>
    <x v="2"/>
    <d v="2026-07-20T00:00:00"/>
    <d v="1899-12-30T04:03:00"/>
    <x v="1"/>
    <m/>
    <m/>
  </r>
  <r>
    <x v="188"/>
    <x v="0"/>
    <d v="2026-07-20T00:00:00"/>
    <d v="1899-12-30T03:35:00"/>
    <x v="1"/>
    <m/>
    <m/>
  </r>
  <r>
    <x v="188"/>
    <x v="2"/>
    <d v="2026-07-20T00:00:00"/>
    <d v="1899-12-30T04:13:00"/>
    <x v="1"/>
    <m/>
    <m/>
  </r>
  <r>
    <x v="189"/>
    <x v="0"/>
    <d v="2026-07-20T00:00:00"/>
    <d v="1899-12-30T03:44:00"/>
    <x v="1"/>
    <m/>
    <m/>
  </r>
  <r>
    <x v="189"/>
    <x v="2"/>
    <d v="2026-07-20T00:00:00"/>
    <d v="1899-12-30T04:11:00"/>
    <x v="1"/>
    <m/>
    <m/>
  </r>
  <r>
    <x v="190"/>
    <x v="0"/>
    <d v="2026-07-20T00:00:00"/>
    <d v="1899-12-30T04:01:00"/>
    <x v="1"/>
    <m/>
    <m/>
  </r>
  <r>
    <x v="190"/>
    <x v="2"/>
    <d v="2026-07-20T00:00:00"/>
    <d v="1899-12-30T04:15:00"/>
    <x v="1"/>
    <m/>
    <m/>
  </r>
  <r>
    <x v="191"/>
    <x v="0"/>
    <d v="2026-07-20T00:00:00"/>
    <d v="1899-12-30T03:32:00"/>
    <x v="1"/>
    <m/>
    <m/>
  </r>
  <r>
    <x v="191"/>
    <x v="2"/>
    <d v="2026-07-20T00:00:00"/>
    <d v="1899-12-30T04:08:00"/>
    <x v="1"/>
    <m/>
    <m/>
  </r>
  <r>
    <x v="192"/>
    <x v="0"/>
    <d v="2026-07-20T00:00:00"/>
    <d v="1899-12-30T03:57:00"/>
    <x v="1"/>
    <m/>
    <m/>
  </r>
  <r>
    <x v="192"/>
    <x v="2"/>
    <d v="2026-07-20T00:00:00"/>
    <d v="1899-12-30T04:02:00"/>
    <x v="1"/>
    <m/>
    <m/>
  </r>
  <r>
    <x v="193"/>
    <x v="0"/>
    <d v="2026-07-20T00:00:00"/>
    <d v="1899-12-30T03:51:00"/>
    <x v="1"/>
    <m/>
    <m/>
  </r>
  <r>
    <x v="193"/>
    <x v="2"/>
    <d v="2026-07-20T00:00:00"/>
    <d v="1899-12-30T04:18:00"/>
    <x v="1"/>
    <m/>
    <m/>
  </r>
  <r>
    <x v="194"/>
    <x v="0"/>
    <d v="2026-07-20T00:00:00"/>
    <d v="1899-12-30T03:42:00"/>
    <x v="1"/>
    <m/>
    <m/>
  </r>
  <r>
    <x v="194"/>
    <x v="2"/>
    <d v="2026-07-20T00:00:00"/>
    <d v="1899-12-30T04:08:00"/>
    <x v="1"/>
    <m/>
    <m/>
  </r>
  <r>
    <x v="195"/>
    <x v="0"/>
    <d v="2026-07-20T00:00:00"/>
    <d v="1899-12-30T04:09:00"/>
    <x v="1"/>
    <m/>
    <m/>
  </r>
  <r>
    <x v="195"/>
    <x v="2"/>
    <d v="2026-07-20T00:00:00"/>
    <d v="1899-12-30T04:00:00"/>
    <x v="1"/>
    <m/>
    <m/>
  </r>
  <r>
    <x v="196"/>
    <x v="0"/>
    <d v="2026-07-20T00:00:00"/>
    <d v="1899-12-30T03:54:00"/>
    <x v="1"/>
    <m/>
    <m/>
  </r>
  <r>
    <x v="196"/>
    <x v="2"/>
    <d v="2026-07-20T00:00:00"/>
    <d v="1899-12-30T04:30:00"/>
    <x v="1"/>
    <m/>
    <m/>
  </r>
  <r>
    <x v="197"/>
    <x v="0"/>
    <d v="2026-07-20T00:00:00"/>
    <d v="1899-12-30T03:34:00"/>
    <x v="1"/>
    <m/>
    <m/>
  </r>
  <r>
    <x v="197"/>
    <x v="2"/>
    <d v="2026-07-20T00:00:00"/>
    <d v="1899-12-30T04:10:00"/>
    <x v="1"/>
    <m/>
    <m/>
  </r>
  <r>
    <x v="198"/>
    <x v="0"/>
    <d v="2026-07-20T00:00:00"/>
    <d v="1899-12-30T03:57:00"/>
    <x v="1"/>
    <m/>
    <m/>
  </r>
  <r>
    <x v="198"/>
    <x v="2"/>
    <d v="2026-07-20T00:00:00"/>
    <d v="1899-12-30T04:35:00"/>
    <x v="1"/>
    <m/>
    <m/>
  </r>
  <r>
    <x v="199"/>
    <x v="0"/>
    <d v="2026-07-20T00:00:00"/>
    <d v="1899-12-30T03:59:00"/>
    <x v="1"/>
    <m/>
    <m/>
  </r>
  <r>
    <x v="199"/>
    <x v="2"/>
    <d v="2026-07-20T00:00:00"/>
    <d v="1899-12-30T04:03:00"/>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7834B-75D6-4827-A400-314FE9C8026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
    <pivotField dataField="1" showAll="0">
      <items count="201">
        <item x="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0"/>
        <item x="1"/>
        <item x="2"/>
        <item x="3"/>
        <item x="4"/>
        <item t="default"/>
      </items>
    </pivotField>
    <pivotField numFmtId="14" showAll="0"/>
    <pivotField numFmtId="21" showAll="0"/>
  </pivotFields>
  <rowFields count="1">
    <field x="1"/>
  </rowFields>
  <rowItems count="6">
    <i>
      <x/>
    </i>
    <i>
      <x v="1"/>
    </i>
    <i>
      <x v="2"/>
    </i>
    <i>
      <x v="3"/>
    </i>
    <i>
      <x v="4"/>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E4C03-2E1A-4326-9373-114E72C0CF21}"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7">
    <pivotField dataField="1" showAll="0">
      <items count="201">
        <item x="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0"/>
        <item x="1"/>
        <item x="2"/>
        <item x="3"/>
        <item x="4"/>
        <item t="default"/>
      </items>
    </pivotField>
    <pivotField numFmtId="14" showAll="0"/>
    <pivotField numFmtId="21" showAll="0"/>
    <pivotField axis="axisCol" showAll="0">
      <items count="3">
        <item x="0"/>
        <item x="1"/>
        <item t="default"/>
      </items>
    </pivotField>
    <pivotField showAll="0"/>
    <pivotField showAll="0"/>
  </pivotFields>
  <rowFields count="1">
    <field x="1"/>
  </rowFields>
  <rowItems count="6">
    <i>
      <x/>
    </i>
    <i>
      <x v="1"/>
    </i>
    <i>
      <x v="2"/>
    </i>
    <i>
      <x v="3"/>
    </i>
    <i>
      <x v="4"/>
    </i>
    <i t="grand">
      <x/>
    </i>
  </rowItems>
  <colFields count="1">
    <field x="4"/>
  </colFields>
  <colItems count="3">
    <i>
      <x/>
    </i>
    <i>
      <x v="1"/>
    </i>
    <i t="grand">
      <x/>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13753E-8389-4A18-85E3-AFDFFD3C2710}" name="Table1" displayName="Table1" ref="A1:D543" totalsRowShown="0">
  <sortState xmlns:xlrd2="http://schemas.microsoft.com/office/spreadsheetml/2017/richdata2" ref="A2:C543">
    <sortCondition ref="A2:A543"/>
    <sortCondition ref="B2:B543" customList="visited_site,signup_started,details_filled,email_verified,purchase_completed"/>
  </sortState>
  <tableColumns count="4">
    <tableColumn id="1" xr3:uid="{ADB24C17-33F4-490F-94E9-D5140A6776D3}" name="user_id"/>
    <tableColumn id="2" xr3:uid="{88978ABD-57AA-432F-BB78-0D7D051C08F9}" name="step"/>
    <tableColumn id="3" xr3:uid="{FBB42622-1FDB-43B4-8817-82867890CA39}" name="timestamp" dataDxfId="0"/>
    <tableColumn id="4" xr3:uid="{B563F207-8D18-4470-96B3-2CAED8D62E0D}" name="Column1"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4E-B5E1-4840-AB34-C43816DAA928}">
  <dimension ref="A1:E23"/>
  <sheetViews>
    <sheetView tabSelected="1" topLeftCell="A9" workbookViewId="0">
      <selection activeCell="A21" sqref="A21"/>
    </sheetView>
  </sheetViews>
  <sheetFormatPr defaultRowHeight="14.4" x14ac:dyDescent="0.3"/>
  <cols>
    <col min="1" max="1" width="18.21875" bestFit="1" customWidth="1"/>
    <col min="2" max="2" width="14.5546875" bestFit="1" customWidth="1"/>
    <col min="3" max="3" width="14.44140625" bestFit="1" customWidth="1"/>
    <col min="4" max="4" width="8.33203125" bestFit="1" customWidth="1"/>
    <col min="5" max="5" width="14.44140625" bestFit="1" customWidth="1"/>
  </cols>
  <sheetData>
    <row r="1" spans="1:5" x14ac:dyDescent="0.3">
      <c r="A1" t="s">
        <v>0</v>
      </c>
      <c r="B1" t="s">
        <v>1</v>
      </c>
      <c r="C1" t="s">
        <v>2</v>
      </c>
      <c r="D1" t="s">
        <v>3</v>
      </c>
      <c r="E1" t="s">
        <v>4</v>
      </c>
    </row>
    <row r="2" spans="1:5" x14ac:dyDescent="0.3">
      <c r="A2" t="s">
        <v>5</v>
      </c>
      <c r="B2">
        <v>200</v>
      </c>
      <c r="C2" s="1">
        <f>B2/B2</f>
        <v>1</v>
      </c>
      <c r="D2">
        <f>B2-B2</f>
        <v>0</v>
      </c>
      <c r="E2" t="str">
        <f>INDEX(A2:A6,MATCH(MAX(D2:D6),D2:D6,0))</f>
        <v>details_filled</v>
      </c>
    </row>
    <row r="3" spans="1:5" x14ac:dyDescent="0.3">
      <c r="A3" t="s">
        <v>7</v>
      </c>
      <c r="B3">
        <v>150</v>
      </c>
      <c r="C3" s="1">
        <f>B3/B2</f>
        <v>0.75</v>
      </c>
      <c r="D3">
        <f>B2-B3</f>
        <v>50</v>
      </c>
    </row>
    <row r="4" spans="1:5" x14ac:dyDescent="0.3">
      <c r="A4" t="s">
        <v>6</v>
      </c>
      <c r="B4">
        <v>96</v>
      </c>
      <c r="C4" s="1">
        <f>B4/B3</f>
        <v>0.64</v>
      </c>
      <c r="D4">
        <f>B3-B4</f>
        <v>54</v>
      </c>
    </row>
    <row r="5" spans="1:5" x14ac:dyDescent="0.3">
      <c r="A5" t="s">
        <v>8</v>
      </c>
      <c r="B5">
        <v>52</v>
      </c>
      <c r="C5" s="1">
        <f>B5/B4</f>
        <v>0.54166666666666663</v>
      </c>
      <c r="D5">
        <f>B4-B5</f>
        <v>44</v>
      </c>
    </row>
    <row r="6" spans="1:5" x14ac:dyDescent="0.3">
      <c r="A6" t="s">
        <v>9</v>
      </c>
      <c r="B6">
        <v>44</v>
      </c>
      <c r="C6" s="1">
        <f>B6/B5</f>
        <v>0.84615384615384615</v>
      </c>
      <c r="D6">
        <f>B5-B6</f>
        <v>8</v>
      </c>
    </row>
    <row r="13" spans="1:5" x14ac:dyDescent="0.3">
      <c r="A13" t="s">
        <v>10</v>
      </c>
    </row>
    <row r="18" spans="1:1" x14ac:dyDescent="0.3">
      <c r="A18" t="s">
        <v>11</v>
      </c>
    </row>
    <row r="21" spans="1:1" s="10" customFormat="1" x14ac:dyDescent="0.3">
      <c r="A21" s="11"/>
    </row>
    <row r="22" spans="1:1" s="10" customFormat="1" x14ac:dyDescent="0.3"/>
    <row r="23" spans="1:1" s="10" customFormat="1" x14ac:dyDescent="0.3">
      <c r="A23" s="10" t="s">
        <v>227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D8384-4249-4BAC-81F1-880A91F38ADD}">
  <dimension ref="A3:B9"/>
  <sheetViews>
    <sheetView workbookViewId="0">
      <selection activeCell="H11" sqref="H11"/>
    </sheetView>
  </sheetViews>
  <sheetFormatPr defaultRowHeight="14.4" x14ac:dyDescent="0.3"/>
  <cols>
    <col min="1" max="1" width="18.21875" bestFit="1" customWidth="1"/>
    <col min="2" max="2" width="15" bestFit="1" customWidth="1"/>
  </cols>
  <sheetData>
    <row r="3" spans="1:2" x14ac:dyDescent="0.3">
      <c r="A3" s="5" t="s">
        <v>0</v>
      </c>
      <c r="B3" t="s">
        <v>1</v>
      </c>
    </row>
    <row r="4" spans="1:2" x14ac:dyDescent="0.3">
      <c r="A4" s="6" t="s">
        <v>5</v>
      </c>
      <c r="B4" s="7">
        <v>200</v>
      </c>
    </row>
    <row r="5" spans="1:2" x14ac:dyDescent="0.3">
      <c r="A5" s="6" t="s">
        <v>7</v>
      </c>
      <c r="B5" s="7">
        <v>150</v>
      </c>
    </row>
    <row r="6" spans="1:2" x14ac:dyDescent="0.3">
      <c r="A6" s="6" t="s">
        <v>6</v>
      </c>
      <c r="B6" s="7">
        <v>96</v>
      </c>
    </row>
    <row r="7" spans="1:2" x14ac:dyDescent="0.3">
      <c r="A7" s="6" t="s">
        <v>8</v>
      </c>
      <c r="B7" s="7">
        <v>52</v>
      </c>
    </row>
    <row r="8" spans="1:2" x14ac:dyDescent="0.3">
      <c r="A8" s="6" t="s">
        <v>9</v>
      </c>
      <c r="B8" s="7">
        <v>44</v>
      </c>
    </row>
    <row r="9" spans="1:2" x14ac:dyDescent="0.3">
      <c r="A9" s="6" t="s">
        <v>220</v>
      </c>
      <c r="B9" s="7">
        <v>542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A293-13AA-43B3-B429-8F55CC3AE2F4}">
  <dimension ref="A1:K543"/>
  <sheetViews>
    <sheetView workbookViewId="0">
      <selection sqref="A1:G543"/>
    </sheetView>
  </sheetViews>
  <sheetFormatPr defaultRowHeight="14.4" x14ac:dyDescent="0.3"/>
  <cols>
    <col min="1" max="1" width="7.109375" bestFit="1" customWidth="1"/>
    <col min="2" max="2" width="18.21875" bestFit="1" customWidth="1"/>
    <col min="3" max="3" width="10.33203125" bestFit="1" customWidth="1"/>
    <col min="4" max="4" width="8.5546875" bestFit="1" customWidth="1"/>
    <col min="5" max="5" width="19.33203125" bestFit="1" customWidth="1"/>
    <col min="6" max="6" width="14.21875" bestFit="1" customWidth="1"/>
    <col min="11" max="11" width="1.77734375" bestFit="1" customWidth="1"/>
  </cols>
  <sheetData>
    <row r="1" spans="1:11" x14ac:dyDescent="0.3">
      <c r="A1" t="s">
        <v>12</v>
      </c>
      <c r="B1" t="s">
        <v>13</v>
      </c>
      <c r="C1" s="3" t="s">
        <v>14</v>
      </c>
      <c r="D1" t="s">
        <v>218</v>
      </c>
      <c r="E1" t="s">
        <v>216</v>
      </c>
      <c r="F1" t="s">
        <v>215</v>
      </c>
      <c r="G1" t="s">
        <v>219</v>
      </c>
    </row>
    <row r="2" spans="1:11" x14ac:dyDescent="0.3">
      <c r="A2" t="s">
        <v>162</v>
      </c>
      <c r="B2" t="s">
        <v>5</v>
      </c>
      <c r="C2" s="3">
        <v>46223</v>
      </c>
      <c r="D2" s="2">
        <v>0.15277777777777779</v>
      </c>
      <c r="E2" t="str">
        <f>IF(VALUE(RIGHT(A2,3))&lt;=100,"Segment A","Segment B")</f>
        <v>Segment A</v>
      </c>
      <c r="F2" s="2">
        <f>Table1[[#This Row],[Column1]]-Table1[[#This Row],[Column1]]</f>
        <v>0</v>
      </c>
      <c r="G2" s="2">
        <f>(F2+F3+F4)/3</f>
        <v>1.134259259259259E-2</v>
      </c>
    </row>
    <row r="3" spans="1:11" x14ac:dyDescent="0.3">
      <c r="A3" t="s">
        <v>162</v>
      </c>
      <c r="B3" t="s">
        <v>7</v>
      </c>
      <c r="C3" s="3">
        <v>46223</v>
      </c>
      <c r="D3" s="2">
        <v>0.17708333333333334</v>
      </c>
      <c r="E3" t="str">
        <f t="shared" ref="E3:E66" si="0">IF(VALUE(RIGHT(A3,3))&lt;=100,"Segment A","Segment B")</f>
        <v>Segment A</v>
      </c>
      <c r="F3" s="4">
        <f>Table1[[#This Row],[Column1]]-D2</f>
        <v>2.4305555555555552E-2</v>
      </c>
    </row>
    <row r="4" spans="1:11" x14ac:dyDescent="0.3">
      <c r="A4" t="s">
        <v>162</v>
      </c>
      <c r="B4" t="s">
        <v>6</v>
      </c>
      <c r="C4" s="3">
        <v>46223</v>
      </c>
      <c r="D4" s="2">
        <v>0.18680555555555556</v>
      </c>
      <c r="E4" t="str">
        <f t="shared" si="0"/>
        <v>Segment A</v>
      </c>
      <c r="F4" s="2">
        <f>Table1[[#This Row],[Column1]]-D3</f>
        <v>9.7222222222222154E-3</v>
      </c>
    </row>
    <row r="5" spans="1:11" x14ac:dyDescent="0.3">
      <c r="A5" t="s">
        <v>183</v>
      </c>
      <c r="B5" t="s">
        <v>5</v>
      </c>
      <c r="C5" s="3">
        <v>46223</v>
      </c>
      <c r="D5" s="2">
        <v>0.14930555555555555</v>
      </c>
      <c r="E5" t="str">
        <f t="shared" si="0"/>
        <v>Segment A</v>
      </c>
    </row>
    <row r="6" spans="1:11" x14ac:dyDescent="0.3">
      <c r="A6" t="s">
        <v>183</v>
      </c>
      <c r="B6" t="s">
        <v>7</v>
      </c>
      <c r="C6" s="3">
        <v>46223</v>
      </c>
      <c r="D6" s="2">
        <v>0.17777777777777778</v>
      </c>
      <c r="E6" t="str">
        <f t="shared" si="0"/>
        <v>Segment A</v>
      </c>
    </row>
    <row r="7" spans="1:11" x14ac:dyDescent="0.3">
      <c r="A7" t="s">
        <v>183</v>
      </c>
      <c r="B7" t="s">
        <v>6</v>
      </c>
      <c r="C7" s="3">
        <v>46223</v>
      </c>
      <c r="D7" s="2">
        <v>0.18472222222222223</v>
      </c>
      <c r="E7" t="str">
        <f t="shared" si="0"/>
        <v>Segment A</v>
      </c>
    </row>
    <row r="8" spans="1:11" x14ac:dyDescent="0.3">
      <c r="A8" t="s">
        <v>131</v>
      </c>
      <c r="B8" t="s">
        <v>5</v>
      </c>
      <c r="C8" s="3">
        <v>46223</v>
      </c>
      <c r="D8" s="2">
        <v>0.16527777777777777</v>
      </c>
      <c r="E8" t="str">
        <f t="shared" si="0"/>
        <v>Segment A</v>
      </c>
    </row>
    <row r="9" spans="1:11" x14ac:dyDescent="0.3">
      <c r="A9" t="s">
        <v>131</v>
      </c>
      <c r="B9" t="s">
        <v>7</v>
      </c>
      <c r="C9" s="3">
        <v>46223</v>
      </c>
      <c r="D9" s="2">
        <v>0.18055555555555555</v>
      </c>
      <c r="E9" t="str">
        <f t="shared" si="0"/>
        <v>Segment A</v>
      </c>
    </row>
    <row r="10" spans="1:11" x14ac:dyDescent="0.3">
      <c r="A10" t="s">
        <v>131</v>
      </c>
      <c r="B10" t="s">
        <v>6</v>
      </c>
      <c r="C10" s="3">
        <v>46223</v>
      </c>
      <c r="D10" s="2">
        <v>0.16944444444444445</v>
      </c>
      <c r="E10" t="str">
        <f t="shared" si="0"/>
        <v>Segment A</v>
      </c>
    </row>
    <row r="11" spans="1:11" x14ac:dyDescent="0.3">
      <c r="A11" t="s">
        <v>31</v>
      </c>
      <c r="B11" t="s">
        <v>5</v>
      </c>
      <c r="C11" s="3">
        <v>46223</v>
      </c>
      <c r="D11" s="2">
        <v>0.17291666666666666</v>
      </c>
      <c r="E11" t="str">
        <f t="shared" si="0"/>
        <v>Segment A</v>
      </c>
      <c r="K11" t="s">
        <v>217</v>
      </c>
    </row>
    <row r="12" spans="1:11" x14ac:dyDescent="0.3">
      <c r="A12" t="s">
        <v>31</v>
      </c>
      <c r="B12" t="s">
        <v>7</v>
      </c>
      <c r="C12" s="3">
        <v>46223</v>
      </c>
      <c r="D12" s="2">
        <v>0.17083333333333334</v>
      </c>
      <c r="E12" t="str">
        <f t="shared" si="0"/>
        <v>Segment A</v>
      </c>
    </row>
    <row r="13" spans="1:11" x14ac:dyDescent="0.3">
      <c r="A13" t="s">
        <v>31</v>
      </c>
      <c r="B13" t="s">
        <v>6</v>
      </c>
      <c r="C13" s="3">
        <v>46223</v>
      </c>
      <c r="D13" s="2">
        <v>0.17847222222222223</v>
      </c>
      <c r="E13" t="str">
        <f t="shared" si="0"/>
        <v>Segment A</v>
      </c>
    </row>
    <row r="14" spans="1:11" x14ac:dyDescent="0.3">
      <c r="A14" t="s">
        <v>17</v>
      </c>
      <c r="B14" t="s">
        <v>5</v>
      </c>
      <c r="C14" s="3">
        <v>46223</v>
      </c>
      <c r="D14" s="2">
        <v>0.15</v>
      </c>
      <c r="E14" t="str">
        <f t="shared" si="0"/>
        <v>Segment A</v>
      </c>
    </row>
    <row r="15" spans="1:11" x14ac:dyDescent="0.3">
      <c r="A15" t="s">
        <v>17</v>
      </c>
      <c r="B15" t="s">
        <v>7</v>
      </c>
      <c r="C15" s="3">
        <v>46223</v>
      </c>
      <c r="D15" s="2">
        <v>0.16041666666666668</v>
      </c>
      <c r="E15" t="str">
        <f t="shared" si="0"/>
        <v>Segment A</v>
      </c>
    </row>
    <row r="16" spans="1:11" x14ac:dyDescent="0.3">
      <c r="A16" t="s">
        <v>17</v>
      </c>
      <c r="B16" t="s">
        <v>6</v>
      </c>
      <c r="C16" s="3">
        <v>46223</v>
      </c>
      <c r="D16" s="2">
        <v>0.16666666666666666</v>
      </c>
      <c r="E16" t="str">
        <f t="shared" si="0"/>
        <v>Segment A</v>
      </c>
    </row>
    <row r="17" spans="1:5" x14ac:dyDescent="0.3">
      <c r="A17" t="s">
        <v>60</v>
      </c>
      <c r="B17" t="s">
        <v>5</v>
      </c>
      <c r="C17" s="3">
        <v>46223</v>
      </c>
      <c r="D17" s="2">
        <v>0.15138888888888888</v>
      </c>
      <c r="E17" t="str">
        <f t="shared" si="0"/>
        <v>Segment A</v>
      </c>
    </row>
    <row r="18" spans="1:5" x14ac:dyDescent="0.3">
      <c r="A18" t="s">
        <v>60</v>
      </c>
      <c r="B18" t="s">
        <v>7</v>
      </c>
      <c r="C18" s="3">
        <v>46223</v>
      </c>
      <c r="D18" s="2">
        <v>0.15833333333333333</v>
      </c>
      <c r="E18" t="str">
        <f t="shared" si="0"/>
        <v>Segment A</v>
      </c>
    </row>
    <row r="19" spans="1:5" x14ac:dyDescent="0.3">
      <c r="A19" t="s">
        <v>60</v>
      </c>
      <c r="B19" t="s">
        <v>6</v>
      </c>
      <c r="C19" s="3">
        <v>46223</v>
      </c>
      <c r="D19" s="2">
        <v>0.17499999999999999</v>
      </c>
      <c r="E19" t="str">
        <f t="shared" si="0"/>
        <v>Segment A</v>
      </c>
    </row>
    <row r="20" spans="1:5" x14ac:dyDescent="0.3">
      <c r="A20" t="s">
        <v>33</v>
      </c>
      <c r="B20" t="s">
        <v>5</v>
      </c>
      <c r="C20" s="3">
        <v>46223</v>
      </c>
      <c r="D20" s="2">
        <v>0.17152777777777778</v>
      </c>
      <c r="E20" t="str">
        <f t="shared" si="0"/>
        <v>Segment A</v>
      </c>
    </row>
    <row r="21" spans="1:5" x14ac:dyDescent="0.3">
      <c r="A21" t="s">
        <v>33</v>
      </c>
      <c r="B21" t="s">
        <v>7</v>
      </c>
      <c r="C21" s="3">
        <v>46223</v>
      </c>
      <c r="D21" s="2">
        <v>0.16041666666666668</v>
      </c>
      <c r="E21" t="str">
        <f t="shared" si="0"/>
        <v>Segment A</v>
      </c>
    </row>
    <row r="22" spans="1:5" x14ac:dyDescent="0.3">
      <c r="A22" t="s">
        <v>33</v>
      </c>
      <c r="B22" t="s">
        <v>6</v>
      </c>
      <c r="C22" s="3">
        <v>46223</v>
      </c>
      <c r="D22" s="2">
        <v>0.16875000000000001</v>
      </c>
      <c r="E22" t="str">
        <f t="shared" si="0"/>
        <v>Segment A</v>
      </c>
    </row>
    <row r="23" spans="1:5" x14ac:dyDescent="0.3">
      <c r="A23" t="s">
        <v>34</v>
      </c>
      <c r="B23" t="s">
        <v>5</v>
      </c>
      <c r="C23" s="3">
        <v>46223</v>
      </c>
      <c r="D23" s="2">
        <v>0.15486111111111112</v>
      </c>
      <c r="E23" t="str">
        <f t="shared" si="0"/>
        <v>Segment A</v>
      </c>
    </row>
    <row r="24" spans="1:5" x14ac:dyDescent="0.3">
      <c r="A24" t="s">
        <v>34</v>
      </c>
      <c r="B24" t="s">
        <v>7</v>
      </c>
      <c r="C24" s="3">
        <v>46223</v>
      </c>
      <c r="D24" s="2">
        <v>0.16250000000000001</v>
      </c>
      <c r="E24" t="str">
        <f t="shared" si="0"/>
        <v>Segment A</v>
      </c>
    </row>
    <row r="25" spans="1:5" x14ac:dyDescent="0.3">
      <c r="A25" t="s">
        <v>34</v>
      </c>
      <c r="B25" t="s">
        <v>6</v>
      </c>
      <c r="C25" s="3">
        <v>46223</v>
      </c>
      <c r="D25" s="2">
        <v>0.16666666666666666</v>
      </c>
      <c r="E25" t="str">
        <f t="shared" si="0"/>
        <v>Segment A</v>
      </c>
    </row>
    <row r="26" spans="1:5" x14ac:dyDescent="0.3">
      <c r="A26" t="s">
        <v>123</v>
      </c>
      <c r="B26" t="s">
        <v>5</v>
      </c>
      <c r="C26" s="3">
        <v>46223</v>
      </c>
      <c r="D26" s="2">
        <v>0.16250000000000001</v>
      </c>
      <c r="E26" t="str">
        <f t="shared" si="0"/>
        <v>Segment A</v>
      </c>
    </row>
    <row r="27" spans="1:5" x14ac:dyDescent="0.3">
      <c r="A27" t="s">
        <v>123</v>
      </c>
      <c r="B27" t="s">
        <v>7</v>
      </c>
      <c r="C27" s="3">
        <v>46223</v>
      </c>
      <c r="D27" s="2">
        <v>0.17430555555555555</v>
      </c>
      <c r="E27" t="str">
        <f t="shared" si="0"/>
        <v>Segment A</v>
      </c>
    </row>
    <row r="28" spans="1:5" x14ac:dyDescent="0.3">
      <c r="A28" t="s">
        <v>123</v>
      </c>
      <c r="B28" t="s">
        <v>6</v>
      </c>
      <c r="C28" s="3">
        <v>46223</v>
      </c>
      <c r="D28" s="2">
        <v>0.19236111111111112</v>
      </c>
      <c r="E28" t="str">
        <f t="shared" si="0"/>
        <v>Segment A</v>
      </c>
    </row>
    <row r="29" spans="1:5" x14ac:dyDescent="0.3">
      <c r="A29" t="s">
        <v>203</v>
      </c>
      <c r="B29" t="s">
        <v>5</v>
      </c>
      <c r="C29" s="3">
        <v>46223</v>
      </c>
      <c r="D29" s="2">
        <v>0.15625</v>
      </c>
      <c r="E29" t="str">
        <f t="shared" si="0"/>
        <v>Segment A</v>
      </c>
    </row>
    <row r="30" spans="1:5" x14ac:dyDescent="0.3">
      <c r="A30" t="s">
        <v>203</v>
      </c>
      <c r="B30" t="s">
        <v>7</v>
      </c>
      <c r="C30" s="3">
        <v>46223</v>
      </c>
      <c r="D30" s="2">
        <v>0.16944444444444445</v>
      </c>
      <c r="E30" t="str">
        <f t="shared" si="0"/>
        <v>Segment A</v>
      </c>
    </row>
    <row r="31" spans="1:5" x14ac:dyDescent="0.3">
      <c r="A31" t="s">
        <v>203</v>
      </c>
      <c r="B31" t="s">
        <v>6</v>
      </c>
      <c r="C31" s="3">
        <v>46223</v>
      </c>
      <c r="D31" s="2">
        <v>0.1673611111111111</v>
      </c>
      <c r="E31" t="str">
        <f t="shared" si="0"/>
        <v>Segment A</v>
      </c>
    </row>
    <row r="32" spans="1:5" x14ac:dyDescent="0.3">
      <c r="A32" t="s">
        <v>62</v>
      </c>
      <c r="B32" t="s">
        <v>5</v>
      </c>
      <c r="C32" s="3">
        <v>46223</v>
      </c>
      <c r="D32" s="2">
        <v>0.17291666666666666</v>
      </c>
      <c r="E32" t="str">
        <f t="shared" si="0"/>
        <v>Segment A</v>
      </c>
    </row>
    <row r="33" spans="1:5" x14ac:dyDescent="0.3">
      <c r="A33" t="s">
        <v>62</v>
      </c>
      <c r="B33" t="s">
        <v>7</v>
      </c>
      <c r="C33" s="3">
        <v>46223</v>
      </c>
      <c r="D33" s="2">
        <v>0.15625</v>
      </c>
      <c r="E33" t="str">
        <f t="shared" si="0"/>
        <v>Segment A</v>
      </c>
    </row>
    <row r="34" spans="1:5" x14ac:dyDescent="0.3">
      <c r="A34" t="s">
        <v>62</v>
      </c>
      <c r="B34" t="s">
        <v>6</v>
      </c>
      <c r="C34" s="3">
        <v>46223</v>
      </c>
      <c r="D34" s="2">
        <v>0.18611111111111112</v>
      </c>
      <c r="E34" t="str">
        <f t="shared" si="0"/>
        <v>Segment A</v>
      </c>
    </row>
    <row r="35" spans="1:5" x14ac:dyDescent="0.3">
      <c r="A35" t="s">
        <v>65</v>
      </c>
      <c r="B35" t="s">
        <v>5</v>
      </c>
      <c r="C35" s="3">
        <v>46223</v>
      </c>
      <c r="D35" s="2">
        <v>0.16944444444444445</v>
      </c>
      <c r="E35" t="str">
        <f t="shared" si="0"/>
        <v>Segment A</v>
      </c>
    </row>
    <row r="36" spans="1:5" x14ac:dyDescent="0.3">
      <c r="A36" t="s">
        <v>65</v>
      </c>
      <c r="B36" t="s">
        <v>7</v>
      </c>
      <c r="C36" s="3">
        <v>46223</v>
      </c>
      <c r="D36" s="2">
        <v>0.18333333333333332</v>
      </c>
      <c r="E36" t="str">
        <f t="shared" si="0"/>
        <v>Segment A</v>
      </c>
    </row>
    <row r="37" spans="1:5" x14ac:dyDescent="0.3">
      <c r="A37" t="s">
        <v>65</v>
      </c>
      <c r="B37" t="s">
        <v>6</v>
      </c>
      <c r="C37" s="3">
        <v>46223</v>
      </c>
      <c r="D37" s="2">
        <v>0.17708333333333334</v>
      </c>
      <c r="E37" t="str">
        <f t="shared" si="0"/>
        <v>Segment A</v>
      </c>
    </row>
    <row r="38" spans="1:5" x14ac:dyDescent="0.3">
      <c r="A38" t="s">
        <v>185</v>
      </c>
      <c r="B38" t="s">
        <v>5</v>
      </c>
      <c r="C38" s="3">
        <v>46223</v>
      </c>
      <c r="D38" s="2">
        <v>0.17291666666666666</v>
      </c>
      <c r="E38" t="str">
        <f t="shared" si="0"/>
        <v>Segment A</v>
      </c>
    </row>
    <row r="39" spans="1:5" x14ac:dyDescent="0.3">
      <c r="A39" t="s">
        <v>185</v>
      </c>
      <c r="B39" t="s">
        <v>7</v>
      </c>
      <c r="C39" s="3">
        <v>46223</v>
      </c>
      <c r="D39" s="2">
        <v>0.17152777777777778</v>
      </c>
      <c r="E39" t="str">
        <f t="shared" si="0"/>
        <v>Segment A</v>
      </c>
    </row>
    <row r="40" spans="1:5" x14ac:dyDescent="0.3">
      <c r="A40" t="s">
        <v>185</v>
      </c>
      <c r="B40" t="s">
        <v>6</v>
      </c>
      <c r="C40" s="3">
        <v>46223</v>
      </c>
      <c r="D40" s="2">
        <v>0.17430555555555555</v>
      </c>
      <c r="E40" t="str">
        <f t="shared" si="0"/>
        <v>Segment A</v>
      </c>
    </row>
    <row r="41" spans="1:5" x14ac:dyDescent="0.3">
      <c r="A41" t="s">
        <v>103</v>
      </c>
      <c r="B41" t="s">
        <v>5</v>
      </c>
      <c r="C41" s="3">
        <v>46223</v>
      </c>
      <c r="D41" s="2">
        <v>0.14791666666666667</v>
      </c>
      <c r="E41" t="str">
        <f t="shared" si="0"/>
        <v>Segment A</v>
      </c>
    </row>
    <row r="42" spans="1:5" x14ac:dyDescent="0.3">
      <c r="A42" t="s">
        <v>103</v>
      </c>
      <c r="B42" t="s">
        <v>7</v>
      </c>
      <c r="C42" s="3">
        <v>46223</v>
      </c>
      <c r="D42" s="2">
        <v>0.17083333333333334</v>
      </c>
      <c r="E42" t="str">
        <f t="shared" si="0"/>
        <v>Segment A</v>
      </c>
    </row>
    <row r="43" spans="1:5" x14ac:dyDescent="0.3">
      <c r="A43" t="s">
        <v>103</v>
      </c>
      <c r="B43" t="s">
        <v>6</v>
      </c>
      <c r="C43" s="3">
        <v>46223</v>
      </c>
      <c r="D43" s="2">
        <v>0.1763888888888889</v>
      </c>
      <c r="E43" t="str">
        <f t="shared" si="0"/>
        <v>Segment A</v>
      </c>
    </row>
    <row r="44" spans="1:5" x14ac:dyDescent="0.3">
      <c r="A44" t="s">
        <v>52</v>
      </c>
      <c r="B44" t="s">
        <v>5</v>
      </c>
      <c r="C44" s="3">
        <v>46223</v>
      </c>
      <c r="D44" s="2">
        <v>0.15277777777777779</v>
      </c>
      <c r="E44" t="str">
        <f t="shared" si="0"/>
        <v>Segment A</v>
      </c>
    </row>
    <row r="45" spans="1:5" x14ac:dyDescent="0.3">
      <c r="A45" t="s">
        <v>52</v>
      </c>
      <c r="B45" t="s">
        <v>7</v>
      </c>
      <c r="C45" s="3">
        <v>46223</v>
      </c>
      <c r="D45" s="2">
        <v>0.17777777777777778</v>
      </c>
      <c r="E45" t="str">
        <f t="shared" si="0"/>
        <v>Segment A</v>
      </c>
    </row>
    <row r="46" spans="1:5" x14ac:dyDescent="0.3">
      <c r="A46" t="s">
        <v>52</v>
      </c>
      <c r="B46" t="s">
        <v>6</v>
      </c>
      <c r="C46" s="3">
        <v>46223</v>
      </c>
      <c r="D46" s="2">
        <v>0.18611111111111112</v>
      </c>
      <c r="E46" t="str">
        <f t="shared" si="0"/>
        <v>Segment A</v>
      </c>
    </row>
    <row r="47" spans="1:5" x14ac:dyDescent="0.3">
      <c r="A47" t="s">
        <v>132</v>
      </c>
      <c r="B47" t="s">
        <v>5</v>
      </c>
      <c r="C47" s="3">
        <v>46223</v>
      </c>
      <c r="D47" s="2">
        <v>0.16597222222222222</v>
      </c>
      <c r="E47" t="str">
        <f t="shared" si="0"/>
        <v>Segment A</v>
      </c>
    </row>
    <row r="48" spans="1:5" x14ac:dyDescent="0.3">
      <c r="A48" t="s">
        <v>132</v>
      </c>
      <c r="B48" t="s">
        <v>7</v>
      </c>
      <c r="C48" s="3">
        <v>46223</v>
      </c>
      <c r="D48" s="2">
        <v>0.16319444444444445</v>
      </c>
      <c r="E48" t="str">
        <f t="shared" si="0"/>
        <v>Segment A</v>
      </c>
    </row>
    <row r="49" spans="1:5" x14ac:dyDescent="0.3">
      <c r="A49" t="s">
        <v>132</v>
      </c>
      <c r="B49" t="s">
        <v>6</v>
      </c>
      <c r="C49" s="3">
        <v>46223</v>
      </c>
      <c r="D49" s="2">
        <v>0.18194444444444444</v>
      </c>
      <c r="E49" t="str">
        <f t="shared" si="0"/>
        <v>Segment A</v>
      </c>
    </row>
    <row r="50" spans="1:5" x14ac:dyDescent="0.3">
      <c r="A50" t="s">
        <v>72</v>
      </c>
      <c r="B50" t="s">
        <v>5</v>
      </c>
      <c r="C50" s="3">
        <v>46223</v>
      </c>
      <c r="D50" s="2">
        <v>0.16527777777777777</v>
      </c>
      <c r="E50" t="str">
        <f t="shared" si="0"/>
        <v>Segment A</v>
      </c>
    </row>
    <row r="51" spans="1:5" x14ac:dyDescent="0.3">
      <c r="A51" t="s">
        <v>72</v>
      </c>
      <c r="B51" t="s">
        <v>7</v>
      </c>
      <c r="C51" s="3">
        <v>46223</v>
      </c>
      <c r="D51" s="2">
        <v>0.1673611111111111</v>
      </c>
      <c r="E51" t="str">
        <f t="shared" si="0"/>
        <v>Segment A</v>
      </c>
    </row>
    <row r="52" spans="1:5" x14ac:dyDescent="0.3">
      <c r="A52" t="s">
        <v>72</v>
      </c>
      <c r="B52" t="s">
        <v>6</v>
      </c>
      <c r="C52" s="3">
        <v>46223</v>
      </c>
      <c r="D52" s="2">
        <v>0.17291666666666666</v>
      </c>
      <c r="E52" t="str">
        <f t="shared" si="0"/>
        <v>Segment A</v>
      </c>
    </row>
    <row r="53" spans="1:5" x14ac:dyDescent="0.3">
      <c r="A53" t="s">
        <v>48</v>
      </c>
      <c r="B53" t="s">
        <v>5</v>
      </c>
      <c r="C53" s="3">
        <v>46223</v>
      </c>
      <c r="D53" s="2">
        <v>0.17083333333333334</v>
      </c>
      <c r="E53" t="str">
        <f t="shared" si="0"/>
        <v>Segment A</v>
      </c>
    </row>
    <row r="54" spans="1:5" x14ac:dyDescent="0.3">
      <c r="A54" t="s">
        <v>48</v>
      </c>
      <c r="B54" t="s">
        <v>7</v>
      </c>
      <c r="C54" s="3">
        <v>46223</v>
      </c>
      <c r="D54" s="2">
        <v>0.16250000000000001</v>
      </c>
      <c r="E54" t="str">
        <f t="shared" si="0"/>
        <v>Segment A</v>
      </c>
    </row>
    <row r="55" spans="1:5" x14ac:dyDescent="0.3">
      <c r="A55" t="s">
        <v>48</v>
      </c>
      <c r="B55" t="s">
        <v>6</v>
      </c>
      <c r="C55" s="3">
        <v>46223</v>
      </c>
      <c r="D55" s="2">
        <v>0.16805555555555557</v>
      </c>
      <c r="E55" t="str">
        <f t="shared" si="0"/>
        <v>Segment A</v>
      </c>
    </row>
    <row r="56" spans="1:5" x14ac:dyDescent="0.3">
      <c r="A56" t="s">
        <v>50</v>
      </c>
      <c r="B56" t="s">
        <v>5</v>
      </c>
      <c r="C56" s="3">
        <v>46223</v>
      </c>
      <c r="D56" s="2">
        <v>0.1701388888888889</v>
      </c>
      <c r="E56" t="str">
        <f t="shared" si="0"/>
        <v>Segment A</v>
      </c>
    </row>
    <row r="57" spans="1:5" x14ac:dyDescent="0.3">
      <c r="A57" t="s">
        <v>50</v>
      </c>
      <c r="B57" t="s">
        <v>7</v>
      </c>
      <c r="C57" s="3">
        <v>46223</v>
      </c>
      <c r="D57" s="2">
        <v>0.15763888888888888</v>
      </c>
      <c r="E57" t="str">
        <f t="shared" si="0"/>
        <v>Segment A</v>
      </c>
    </row>
    <row r="58" spans="1:5" x14ac:dyDescent="0.3">
      <c r="A58" t="s">
        <v>50</v>
      </c>
      <c r="B58" t="s">
        <v>6</v>
      </c>
      <c r="C58" s="3">
        <v>46223</v>
      </c>
      <c r="D58" s="2">
        <v>0.17152777777777778</v>
      </c>
      <c r="E58" t="str">
        <f t="shared" si="0"/>
        <v>Segment A</v>
      </c>
    </row>
    <row r="59" spans="1:5" x14ac:dyDescent="0.3">
      <c r="A59" t="s">
        <v>154</v>
      </c>
      <c r="B59" t="s">
        <v>5</v>
      </c>
      <c r="C59" s="3">
        <v>46223</v>
      </c>
      <c r="D59" s="2">
        <v>0.16111111111111112</v>
      </c>
      <c r="E59" t="str">
        <f t="shared" si="0"/>
        <v>Segment A</v>
      </c>
    </row>
    <row r="60" spans="1:5" x14ac:dyDescent="0.3">
      <c r="A60" t="s">
        <v>154</v>
      </c>
      <c r="B60" t="s">
        <v>7</v>
      </c>
      <c r="C60" s="3">
        <v>46223</v>
      </c>
      <c r="D60" s="2">
        <v>0.1673611111111111</v>
      </c>
      <c r="E60" t="str">
        <f t="shared" si="0"/>
        <v>Segment A</v>
      </c>
    </row>
    <row r="61" spans="1:5" x14ac:dyDescent="0.3">
      <c r="A61" t="s">
        <v>154</v>
      </c>
      <c r="B61" t="s">
        <v>6</v>
      </c>
      <c r="C61" s="3">
        <v>46223</v>
      </c>
      <c r="D61" s="2">
        <v>0.18402777777777779</v>
      </c>
      <c r="E61" t="str">
        <f t="shared" si="0"/>
        <v>Segment A</v>
      </c>
    </row>
    <row r="62" spans="1:5" x14ac:dyDescent="0.3">
      <c r="A62" t="s">
        <v>46</v>
      </c>
      <c r="B62" t="s">
        <v>5</v>
      </c>
      <c r="C62" s="3">
        <v>46223</v>
      </c>
      <c r="D62" s="2">
        <v>0.16250000000000001</v>
      </c>
      <c r="E62" t="str">
        <f t="shared" si="0"/>
        <v>Segment A</v>
      </c>
    </row>
    <row r="63" spans="1:5" x14ac:dyDescent="0.3">
      <c r="A63" t="s">
        <v>46</v>
      </c>
      <c r="B63" t="s">
        <v>7</v>
      </c>
      <c r="C63" s="3">
        <v>46223</v>
      </c>
      <c r="D63" s="2">
        <v>0.17777777777777778</v>
      </c>
      <c r="E63" t="str">
        <f t="shared" si="0"/>
        <v>Segment A</v>
      </c>
    </row>
    <row r="64" spans="1:5" x14ac:dyDescent="0.3">
      <c r="A64" t="s">
        <v>46</v>
      </c>
      <c r="B64" t="s">
        <v>6</v>
      </c>
      <c r="C64" s="3">
        <v>46223</v>
      </c>
      <c r="D64" s="2">
        <v>0.1763888888888889</v>
      </c>
      <c r="E64" t="str">
        <f t="shared" si="0"/>
        <v>Segment A</v>
      </c>
    </row>
    <row r="65" spans="1:5" x14ac:dyDescent="0.3">
      <c r="A65" t="s">
        <v>68</v>
      </c>
      <c r="B65" t="s">
        <v>5</v>
      </c>
      <c r="C65" s="3">
        <v>46223</v>
      </c>
      <c r="D65" s="2">
        <v>0.15416666666666667</v>
      </c>
      <c r="E65" t="str">
        <f t="shared" si="0"/>
        <v>Segment A</v>
      </c>
    </row>
    <row r="66" spans="1:5" x14ac:dyDescent="0.3">
      <c r="A66" t="s">
        <v>68</v>
      </c>
      <c r="B66" t="s">
        <v>7</v>
      </c>
      <c r="C66" s="3">
        <v>46223</v>
      </c>
      <c r="D66" s="2">
        <v>0.16041666666666668</v>
      </c>
      <c r="E66" t="str">
        <f t="shared" si="0"/>
        <v>Segment A</v>
      </c>
    </row>
    <row r="67" spans="1:5" x14ac:dyDescent="0.3">
      <c r="A67" t="s">
        <v>68</v>
      </c>
      <c r="B67" t="s">
        <v>6</v>
      </c>
      <c r="C67" s="3">
        <v>46223</v>
      </c>
      <c r="D67" s="2">
        <v>0.18402777777777779</v>
      </c>
      <c r="E67" t="str">
        <f t="shared" ref="E67:E130" si="1">IF(VALUE(RIGHT(A67,3))&lt;=100,"Segment A","Segment B")</f>
        <v>Segment A</v>
      </c>
    </row>
    <row r="68" spans="1:5" x14ac:dyDescent="0.3">
      <c r="A68" t="s">
        <v>176</v>
      </c>
      <c r="B68" t="s">
        <v>5</v>
      </c>
      <c r="C68" s="3">
        <v>46223</v>
      </c>
      <c r="D68" s="2">
        <v>0.16597222222222222</v>
      </c>
      <c r="E68" t="str">
        <f t="shared" si="1"/>
        <v>Segment A</v>
      </c>
    </row>
    <row r="69" spans="1:5" x14ac:dyDescent="0.3">
      <c r="A69" t="s">
        <v>176</v>
      </c>
      <c r="B69" t="s">
        <v>7</v>
      </c>
      <c r="C69" s="3">
        <v>46223</v>
      </c>
      <c r="D69" s="2">
        <v>0.15625</v>
      </c>
      <c r="E69" t="str">
        <f t="shared" si="1"/>
        <v>Segment A</v>
      </c>
    </row>
    <row r="70" spans="1:5" x14ac:dyDescent="0.3">
      <c r="A70" t="s">
        <v>176</v>
      </c>
      <c r="B70" t="s">
        <v>6</v>
      </c>
      <c r="C70" s="3">
        <v>46223</v>
      </c>
      <c r="D70" s="2">
        <v>0.17569444444444443</v>
      </c>
      <c r="E70" t="str">
        <f t="shared" si="1"/>
        <v>Segment A</v>
      </c>
    </row>
    <row r="71" spans="1:5" x14ac:dyDescent="0.3">
      <c r="A71" t="s">
        <v>102</v>
      </c>
      <c r="B71" t="s">
        <v>5</v>
      </c>
      <c r="C71" s="3">
        <v>46223</v>
      </c>
      <c r="D71" s="2">
        <v>0.16458333333333333</v>
      </c>
      <c r="E71" t="str">
        <f t="shared" si="1"/>
        <v>Segment A</v>
      </c>
    </row>
    <row r="72" spans="1:5" x14ac:dyDescent="0.3">
      <c r="A72" t="s">
        <v>102</v>
      </c>
      <c r="B72" t="s">
        <v>7</v>
      </c>
      <c r="C72" s="3">
        <v>46223</v>
      </c>
      <c r="D72" s="2">
        <v>0.16944444444444445</v>
      </c>
      <c r="E72" t="str">
        <f t="shared" si="1"/>
        <v>Segment A</v>
      </c>
    </row>
    <row r="73" spans="1:5" x14ac:dyDescent="0.3">
      <c r="A73" t="s">
        <v>102</v>
      </c>
      <c r="B73" t="s">
        <v>6</v>
      </c>
      <c r="C73" s="3">
        <v>46223</v>
      </c>
      <c r="D73" s="2">
        <v>0.17152777777777778</v>
      </c>
      <c r="E73" t="str">
        <f t="shared" si="1"/>
        <v>Segment A</v>
      </c>
    </row>
    <row r="74" spans="1:5" x14ac:dyDescent="0.3">
      <c r="A74" t="s">
        <v>207</v>
      </c>
      <c r="B74" t="s">
        <v>5</v>
      </c>
      <c r="C74" s="3">
        <v>46223</v>
      </c>
      <c r="D74" s="2">
        <v>0.15138888888888888</v>
      </c>
      <c r="E74" t="str">
        <f t="shared" si="1"/>
        <v>Segment A</v>
      </c>
    </row>
    <row r="75" spans="1:5" x14ac:dyDescent="0.3">
      <c r="A75" t="s">
        <v>207</v>
      </c>
      <c r="B75" t="s">
        <v>7</v>
      </c>
      <c r="C75" s="3">
        <v>46223</v>
      </c>
      <c r="D75" s="2">
        <v>0.17777777777777778</v>
      </c>
      <c r="E75" t="str">
        <f t="shared" si="1"/>
        <v>Segment A</v>
      </c>
    </row>
    <row r="76" spans="1:5" x14ac:dyDescent="0.3">
      <c r="A76" t="s">
        <v>207</v>
      </c>
      <c r="B76" t="s">
        <v>6</v>
      </c>
      <c r="C76" s="3">
        <v>46223</v>
      </c>
      <c r="D76" s="2">
        <v>0.1673611111111111</v>
      </c>
      <c r="E76" t="str">
        <f t="shared" si="1"/>
        <v>Segment A</v>
      </c>
    </row>
    <row r="77" spans="1:5" x14ac:dyDescent="0.3">
      <c r="A77" t="s">
        <v>70</v>
      </c>
      <c r="B77" t="s">
        <v>5</v>
      </c>
      <c r="C77" s="3">
        <v>46223</v>
      </c>
      <c r="D77" s="2">
        <v>0.14791666666666667</v>
      </c>
      <c r="E77" t="str">
        <f t="shared" si="1"/>
        <v>Segment A</v>
      </c>
    </row>
    <row r="78" spans="1:5" x14ac:dyDescent="0.3">
      <c r="A78" t="s">
        <v>70</v>
      </c>
      <c r="B78" t="s">
        <v>7</v>
      </c>
      <c r="C78" s="3">
        <v>46223</v>
      </c>
      <c r="D78" s="2">
        <v>0.16805555555555557</v>
      </c>
      <c r="E78" t="str">
        <f t="shared" si="1"/>
        <v>Segment A</v>
      </c>
    </row>
    <row r="79" spans="1:5" x14ac:dyDescent="0.3">
      <c r="A79" t="s">
        <v>70</v>
      </c>
      <c r="B79" t="s">
        <v>6</v>
      </c>
      <c r="C79" s="3">
        <v>46223</v>
      </c>
      <c r="D79" s="2">
        <v>0.19375000000000001</v>
      </c>
      <c r="E79" t="str">
        <f t="shared" si="1"/>
        <v>Segment A</v>
      </c>
    </row>
    <row r="80" spans="1:5" x14ac:dyDescent="0.3">
      <c r="A80" t="s">
        <v>19</v>
      </c>
      <c r="B80" t="s">
        <v>5</v>
      </c>
      <c r="C80" s="3">
        <v>46223</v>
      </c>
      <c r="D80" s="2">
        <v>0.14583333333333334</v>
      </c>
      <c r="E80" t="str">
        <f t="shared" si="1"/>
        <v>Segment A</v>
      </c>
    </row>
    <row r="81" spans="1:5" x14ac:dyDescent="0.3">
      <c r="A81" t="s">
        <v>19</v>
      </c>
      <c r="B81" t="s">
        <v>7</v>
      </c>
      <c r="C81" s="3">
        <v>46223</v>
      </c>
      <c r="D81" s="2">
        <v>0.17569444444444443</v>
      </c>
      <c r="E81" t="str">
        <f t="shared" si="1"/>
        <v>Segment A</v>
      </c>
    </row>
    <row r="82" spans="1:5" x14ac:dyDescent="0.3">
      <c r="A82" t="s">
        <v>19</v>
      </c>
      <c r="B82" t="s">
        <v>6</v>
      </c>
      <c r="C82" s="3">
        <v>46223</v>
      </c>
      <c r="D82" s="2">
        <v>0.18402777777777779</v>
      </c>
      <c r="E82" t="str">
        <f t="shared" si="1"/>
        <v>Segment A</v>
      </c>
    </row>
    <row r="83" spans="1:5" x14ac:dyDescent="0.3">
      <c r="A83" t="s">
        <v>98</v>
      </c>
      <c r="B83" t="s">
        <v>5</v>
      </c>
      <c r="C83" s="3">
        <v>46223</v>
      </c>
      <c r="D83" s="2">
        <v>0.16597222222222222</v>
      </c>
      <c r="E83" t="str">
        <f t="shared" si="1"/>
        <v>Segment A</v>
      </c>
    </row>
    <row r="84" spans="1:5" x14ac:dyDescent="0.3">
      <c r="A84" t="s">
        <v>98</v>
      </c>
      <c r="B84" t="s">
        <v>7</v>
      </c>
      <c r="C84" s="3">
        <v>46223</v>
      </c>
      <c r="D84" s="2">
        <v>0.16597222222222222</v>
      </c>
      <c r="E84" t="str">
        <f t="shared" si="1"/>
        <v>Segment A</v>
      </c>
    </row>
    <row r="85" spans="1:5" x14ac:dyDescent="0.3">
      <c r="A85" t="s">
        <v>98</v>
      </c>
      <c r="B85" t="s">
        <v>6</v>
      </c>
      <c r="C85" s="3">
        <v>46223</v>
      </c>
      <c r="D85" s="2">
        <v>0.17708333333333334</v>
      </c>
      <c r="E85" t="str">
        <f t="shared" si="1"/>
        <v>Segment A</v>
      </c>
    </row>
    <row r="86" spans="1:5" x14ac:dyDescent="0.3">
      <c r="A86" t="s">
        <v>104</v>
      </c>
      <c r="B86" t="s">
        <v>5</v>
      </c>
      <c r="C86" s="3">
        <v>46223</v>
      </c>
      <c r="D86" s="2">
        <v>0.16041666666666668</v>
      </c>
      <c r="E86" t="str">
        <f t="shared" si="1"/>
        <v>Segment A</v>
      </c>
    </row>
    <row r="87" spans="1:5" x14ac:dyDescent="0.3">
      <c r="A87" t="s">
        <v>104</v>
      </c>
      <c r="B87" t="s">
        <v>7</v>
      </c>
      <c r="C87" s="3">
        <v>46223</v>
      </c>
      <c r="D87" s="2">
        <v>0.17847222222222223</v>
      </c>
      <c r="E87" t="str">
        <f t="shared" si="1"/>
        <v>Segment A</v>
      </c>
    </row>
    <row r="88" spans="1:5" x14ac:dyDescent="0.3">
      <c r="A88" t="s">
        <v>104</v>
      </c>
      <c r="B88" t="s">
        <v>6</v>
      </c>
      <c r="C88" s="3">
        <v>46223</v>
      </c>
      <c r="D88" s="2">
        <v>0.18263888888888888</v>
      </c>
      <c r="E88" t="str">
        <f t="shared" si="1"/>
        <v>Segment A</v>
      </c>
    </row>
    <row r="89" spans="1:5" x14ac:dyDescent="0.3">
      <c r="A89" t="s">
        <v>55</v>
      </c>
      <c r="B89" t="s">
        <v>5</v>
      </c>
      <c r="C89" s="3">
        <v>46223</v>
      </c>
      <c r="D89" s="2">
        <v>0.14583333333333334</v>
      </c>
      <c r="E89" t="str">
        <f t="shared" si="1"/>
        <v>Segment A</v>
      </c>
    </row>
    <row r="90" spans="1:5" x14ac:dyDescent="0.3">
      <c r="A90" t="s">
        <v>55</v>
      </c>
      <c r="B90" t="s">
        <v>7</v>
      </c>
      <c r="C90" s="3">
        <v>46223</v>
      </c>
      <c r="D90" s="2">
        <v>0.17083333333333334</v>
      </c>
      <c r="E90" t="str">
        <f t="shared" si="1"/>
        <v>Segment A</v>
      </c>
    </row>
    <row r="91" spans="1:5" x14ac:dyDescent="0.3">
      <c r="A91" t="s">
        <v>55</v>
      </c>
      <c r="B91" t="s">
        <v>6</v>
      </c>
      <c r="C91" s="3">
        <v>46223</v>
      </c>
      <c r="D91" s="2">
        <v>0.17916666666666667</v>
      </c>
      <c r="E91" t="str">
        <f t="shared" si="1"/>
        <v>Segment A</v>
      </c>
    </row>
    <row r="92" spans="1:5" x14ac:dyDescent="0.3">
      <c r="A92" t="s">
        <v>167</v>
      </c>
      <c r="B92" t="s">
        <v>5</v>
      </c>
      <c r="C92" s="3">
        <v>46223</v>
      </c>
      <c r="D92" s="2">
        <v>0.17083333333333334</v>
      </c>
      <c r="E92" t="str">
        <f t="shared" si="1"/>
        <v>Segment A</v>
      </c>
    </row>
    <row r="93" spans="1:5" x14ac:dyDescent="0.3">
      <c r="A93" t="s">
        <v>167</v>
      </c>
      <c r="B93" t="s">
        <v>7</v>
      </c>
      <c r="C93" s="3">
        <v>46223</v>
      </c>
      <c r="D93" s="2">
        <v>0.16875000000000001</v>
      </c>
      <c r="E93" t="str">
        <f t="shared" si="1"/>
        <v>Segment A</v>
      </c>
    </row>
    <row r="94" spans="1:5" x14ac:dyDescent="0.3">
      <c r="A94" t="s">
        <v>167</v>
      </c>
      <c r="B94" t="s">
        <v>6</v>
      </c>
      <c r="C94" s="3">
        <v>46223</v>
      </c>
      <c r="D94" s="2">
        <v>0.1763888888888889</v>
      </c>
      <c r="E94" t="str">
        <f t="shared" si="1"/>
        <v>Segment A</v>
      </c>
    </row>
    <row r="95" spans="1:5" x14ac:dyDescent="0.3">
      <c r="A95" t="s">
        <v>77</v>
      </c>
      <c r="B95" t="s">
        <v>5</v>
      </c>
      <c r="C95" s="3">
        <v>46223</v>
      </c>
      <c r="D95" s="2">
        <v>0.16041666666666668</v>
      </c>
      <c r="E95" t="str">
        <f t="shared" si="1"/>
        <v>Segment A</v>
      </c>
    </row>
    <row r="96" spans="1:5" x14ac:dyDescent="0.3">
      <c r="A96" t="s">
        <v>77</v>
      </c>
      <c r="B96" t="s">
        <v>7</v>
      </c>
      <c r="C96" s="3">
        <v>46223</v>
      </c>
      <c r="D96" s="2">
        <v>0.1736111111111111</v>
      </c>
      <c r="E96" t="str">
        <f t="shared" si="1"/>
        <v>Segment A</v>
      </c>
    </row>
    <row r="97" spans="1:5" x14ac:dyDescent="0.3">
      <c r="A97" t="s">
        <v>77</v>
      </c>
      <c r="B97" t="s">
        <v>6</v>
      </c>
      <c r="C97" s="3">
        <v>46223</v>
      </c>
      <c r="D97" s="2">
        <v>0.18680555555555556</v>
      </c>
      <c r="E97" t="str">
        <f t="shared" si="1"/>
        <v>Segment A</v>
      </c>
    </row>
    <row r="98" spans="1:5" x14ac:dyDescent="0.3">
      <c r="A98" t="s">
        <v>21</v>
      </c>
      <c r="B98" t="s">
        <v>5</v>
      </c>
      <c r="C98" s="3">
        <v>46223</v>
      </c>
      <c r="D98" s="2">
        <v>0.16180555555555556</v>
      </c>
      <c r="E98" t="str">
        <f t="shared" si="1"/>
        <v>Segment A</v>
      </c>
    </row>
    <row r="99" spans="1:5" x14ac:dyDescent="0.3">
      <c r="A99" t="s">
        <v>21</v>
      </c>
      <c r="B99" t="s">
        <v>7</v>
      </c>
      <c r="C99" s="3">
        <v>46223</v>
      </c>
      <c r="D99" s="2">
        <v>0.15972222222222221</v>
      </c>
      <c r="E99" t="str">
        <f t="shared" si="1"/>
        <v>Segment A</v>
      </c>
    </row>
    <row r="100" spans="1:5" x14ac:dyDescent="0.3">
      <c r="A100" t="s">
        <v>21</v>
      </c>
      <c r="B100" t="s">
        <v>6</v>
      </c>
      <c r="C100" s="3">
        <v>46223</v>
      </c>
      <c r="D100" s="2">
        <v>0.18263888888888888</v>
      </c>
      <c r="E100" t="str">
        <f t="shared" si="1"/>
        <v>Segment A</v>
      </c>
    </row>
    <row r="101" spans="1:5" x14ac:dyDescent="0.3">
      <c r="A101" t="s">
        <v>74</v>
      </c>
      <c r="B101" t="s">
        <v>5</v>
      </c>
      <c r="C101" s="3">
        <v>46223</v>
      </c>
      <c r="D101" s="2">
        <v>0.15277777777777779</v>
      </c>
      <c r="E101" t="str">
        <f t="shared" si="1"/>
        <v>Segment A</v>
      </c>
    </row>
    <row r="102" spans="1:5" x14ac:dyDescent="0.3">
      <c r="A102" t="s">
        <v>74</v>
      </c>
      <c r="B102" t="s">
        <v>7</v>
      </c>
      <c r="C102" s="3">
        <v>46223</v>
      </c>
      <c r="D102" s="2">
        <v>0.17291666666666666</v>
      </c>
      <c r="E102" t="str">
        <f t="shared" si="1"/>
        <v>Segment A</v>
      </c>
    </row>
    <row r="103" spans="1:5" x14ac:dyDescent="0.3">
      <c r="A103" t="s">
        <v>74</v>
      </c>
      <c r="B103" t="s">
        <v>6</v>
      </c>
      <c r="C103" s="3">
        <v>46223</v>
      </c>
      <c r="D103" s="2">
        <v>0.17569444444444443</v>
      </c>
      <c r="E103" t="str">
        <f t="shared" si="1"/>
        <v>Segment A</v>
      </c>
    </row>
    <row r="104" spans="1:5" x14ac:dyDescent="0.3">
      <c r="A104" t="s">
        <v>38</v>
      </c>
      <c r="B104" t="s">
        <v>5</v>
      </c>
      <c r="C104" s="3">
        <v>46223</v>
      </c>
      <c r="D104" s="2">
        <v>0.15069444444444444</v>
      </c>
      <c r="E104" t="str">
        <f t="shared" si="1"/>
        <v>Segment A</v>
      </c>
    </row>
    <row r="105" spans="1:5" x14ac:dyDescent="0.3">
      <c r="A105" t="s">
        <v>38</v>
      </c>
      <c r="B105" t="s">
        <v>7</v>
      </c>
      <c r="C105" s="3">
        <v>46223</v>
      </c>
      <c r="D105" s="2">
        <v>0.16875000000000001</v>
      </c>
      <c r="E105" t="str">
        <f t="shared" si="1"/>
        <v>Segment A</v>
      </c>
    </row>
    <row r="106" spans="1:5" x14ac:dyDescent="0.3">
      <c r="A106" t="s">
        <v>38</v>
      </c>
      <c r="B106" t="s">
        <v>6</v>
      </c>
      <c r="C106" s="3">
        <v>46223</v>
      </c>
      <c r="D106" s="2">
        <v>0.18541666666666667</v>
      </c>
      <c r="E106" t="str">
        <f t="shared" si="1"/>
        <v>Segment A</v>
      </c>
    </row>
    <row r="107" spans="1:5" x14ac:dyDescent="0.3">
      <c r="A107" t="s">
        <v>87</v>
      </c>
      <c r="B107" t="s">
        <v>5</v>
      </c>
      <c r="C107" s="3">
        <v>46223</v>
      </c>
      <c r="D107" s="2">
        <v>0.16041666666666668</v>
      </c>
      <c r="E107" t="str">
        <f t="shared" si="1"/>
        <v>Segment A</v>
      </c>
    </row>
    <row r="108" spans="1:5" x14ac:dyDescent="0.3">
      <c r="A108" t="s">
        <v>87</v>
      </c>
      <c r="B108" t="s">
        <v>7</v>
      </c>
      <c r="C108" s="3">
        <v>46223</v>
      </c>
      <c r="D108" s="2">
        <v>0.15625</v>
      </c>
      <c r="E108" t="str">
        <f t="shared" si="1"/>
        <v>Segment A</v>
      </c>
    </row>
    <row r="109" spans="1:5" x14ac:dyDescent="0.3">
      <c r="A109" t="s">
        <v>87</v>
      </c>
      <c r="B109" t="s">
        <v>6</v>
      </c>
      <c r="C109" s="3">
        <v>46223</v>
      </c>
      <c r="D109" s="2">
        <v>0.17847222222222223</v>
      </c>
      <c r="E109" t="str">
        <f t="shared" si="1"/>
        <v>Segment A</v>
      </c>
    </row>
    <row r="110" spans="1:5" x14ac:dyDescent="0.3">
      <c r="A110" t="s">
        <v>85</v>
      </c>
      <c r="B110" t="s">
        <v>5</v>
      </c>
      <c r="C110" s="3">
        <v>46223</v>
      </c>
      <c r="D110" s="2">
        <v>0.17083333333333334</v>
      </c>
      <c r="E110" t="str">
        <f t="shared" si="1"/>
        <v>Segment A</v>
      </c>
    </row>
    <row r="111" spans="1:5" x14ac:dyDescent="0.3">
      <c r="A111" t="s">
        <v>85</v>
      </c>
      <c r="B111" t="s">
        <v>7</v>
      </c>
      <c r="C111" s="3">
        <v>46223</v>
      </c>
      <c r="D111" s="2">
        <v>0.16666666666666666</v>
      </c>
      <c r="E111" t="str">
        <f t="shared" si="1"/>
        <v>Segment A</v>
      </c>
    </row>
    <row r="112" spans="1:5" x14ac:dyDescent="0.3">
      <c r="A112" t="s">
        <v>85</v>
      </c>
      <c r="B112" t="s">
        <v>6</v>
      </c>
      <c r="C112" s="3">
        <v>46223</v>
      </c>
      <c r="D112" s="2">
        <v>0.17777777777777778</v>
      </c>
      <c r="E112" t="str">
        <f t="shared" si="1"/>
        <v>Segment A</v>
      </c>
    </row>
    <row r="113" spans="1:5" x14ac:dyDescent="0.3">
      <c r="A113" t="s">
        <v>44</v>
      </c>
      <c r="B113" t="s">
        <v>5</v>
      </c>
      <c r="C113" s="3">
        <v>46223</v>
      </c>
      <c r="D113" s="2">
        <v>0.16458333333333333</v>
      </c>
      <c r="E113" t="str">
        <f t="shared" si="1"/>
        <v>Segment A</v>
      </c>
    </row>
    <row r="114" spans="1:5" x14ac:dyDescent="0.3">
      <c r="A114" t="s">
        <v>44</v>
      </c>
      <c r="B114" t="s">
        <v>7</v>
      </c>
      <c r="C114" s="3">
        <v>46223</v>
      </c>
      <c r="D114" s="2">
        <v>0.18055555555555555</v>
      </c>
      <c r="E114" t="str">
        <f t="shared" si="1"/>
        <v>Segment A</v>
      </c>
    </row>
    <row r="115" spans="1:5" x14ac:dyDescent="0.3">
      <c r="A115" t="s">
        <v>44</v>
      </c>
      <c r="B115" t="s">
        <v>6</v>
      </c>
      <c r="C115" s="3">
        <v>46223</v>
      </c>
      <c r="D115" s="2">
        <v>0.18055555555555555</v>
      </c>
      <c r="E115" t="str">
        <f t="shared" si="1"/>
        <v>Segment A</v>
      </c>
    </row>
    <row r="116" spans="1:5" x14ac:dyDescent="0.3">
      <c r="A116" t="s">
        <v>56</v>
      </c>
      <c r="B116" t="s">
        <v>5</v>
      </c>
      <c r="C116" s="3">
        <v>46223</v>
      </c>
      <c r="D116" s="2">
        <v>0.16458333333333333</v>
      </c>
      <c r="E116" t="str">
        <f t="shared" si="1"/>
        <v>Segment A</v>
      </c>
    </row>
    <row r="117" spans="1:5" x14ac:dyDescent="0.3">
      <c r="A117" t="s">
        <v>56</v>
      </c>
      <c r="B117" t="s">
        <v>7</v>
      </c>
      <c r="C117" s="3">
        <v>46223</v>
      </c>
      <c r="D117" s="2">
        <v>0.17152777777777778</v>
      </c>
      <c r="E117" t="str">
        <f t="shared" si="1"/>
        <v>Segment A</v>
      </c>
    </row>
    <row r="118" spans="1:5" x14ac:dyDescent="0.3">
      <c r="A118" t="s">
        <v>56</v>
      </c>
      <c r="B118" t="s">
        <v>6</v>
      </c>
      <c r="C118" s="3">
        <v>46223</v>
      </c>
      <c r="D118" s="2">
        <v>0.17916666666666667</v>
      </c>
      <c r="E118" t="str">
        <f t="shared" si="1"/>
        <v>Segment A</v>
      </c>
    </row>
    <row r="119" spans="1:5" x14ac:dyDescent="0.3">
      <c r="A119" t="s">
        <v>64</v>
      </c>
      <c r="B119" t="s">
        <v>5</v>
      </c>
      <c r="C119" s="3">
        <v>46223</v>
      </c>
      <c r="D119" s="2">
        <v>0.16388888888888889</v>
      </c>
      <c r="E119" t="str">
        <f t="shared" si="1"/>
        <v>Segment A</v>
      </c>
    </row>
    <row r="120" spans="1:5" x14ac:dyDescent="0.3">
      <c r="A120" t="s">
        <v>64</v>
      </c>
      <c r="B120" t="s">
        <v>7</v>
      </c>
      <c r="C120" s="3">
        <v>46223</v>
      </c>
      <c r="D120" s="2">
        <v>0.16388888888888889</v>
      </c>
      <c r="E120" t="str">
        <f t="shared" si="1"/>
        <v>Segment A</v>
      </c>
    </row>
    <row r="121" spans="1:5" x14ac:dyDescent="0.3">
      <c r="A121" t="s">
        <v>64</v>
      </c>
      <c r="B121" t="s">
        <v>6</v>
      </c>
      <c r="C121" s="3">
        <v>46223</v>
      </c>
      <c r="D121" s="2">
        <v>0.17986111111111111</v>
      </c>
      <c r="E121" t="str">
        <f t="shared" si="1"/>
        <v>Segment A</v>
      </c>
    </row>
    <row r="122" spans="1:5" x14ac:dyDescent="0.3">
      <c r="A122" t="s">
        <v>88</v>
      </c>
      <c r="B122" t="s">
        <v>5</v>
      </c>
      <c r="C122" s="3">
        <v>46223</v>
      </c>
      <c r="D122" s="2">
        <v>0.17083333333333334</v>
      </c>
      <c r="E122" t="str">
        <f t="shared" si="1"/>
        <v>Segment A</v>
      </c>
    </row>
    <row r="123" spans="1:5" x14ac:dyDescent="0.3">
      <c r="A123" t="s">
        <v>88</v>
      </c>
      <c r="B123" t="s">
        <v>7</v>
      </c>
      <c r="C123" s="3">
        <v>46223</v>
      </c>
      <c r="D123" s="2">
        <v>0.15833333333333333</v>
      </c>
      <c r="E123" t="str">
        <f t="shared" si="1"/>
        <v>Segment A</v>
      </c>
    </row>
    <row r="124" spans="1:5" x14ac:dyDescent="0.3">
      <c r="A124" t="s">
        <v>88</v>
      </c>
      <c r="B124" t="s">
        <v>6</v>
      </c>
      <c r="C124" s="3">
        <v>46223</v>
      </c>
      <c r="D124" s="2">
        <v>0.16944444444444445</v>
      </c>
      <c r="E124" t="str">
        <f t="shared" si="1"/>
        <v>Segment A</v>
      </c>
    </row>
    <row r="125" spans="1:5" x14ac:dyDescent="0.3">
      <c r="A125" t="s">
        <v>40</v>
      </c>
      <c r="B125" t="s">
        <v>5</v>
      </c>
      <c r="C125" s="3">
        <v>46223</v>
      </c>
      <c r="D125" s="2">
        <v>0.15</v>
      </c>
      <c r="E125" t="str">
        <f t="shared" si="1"/>
        <v>Segment A</v>
      </c>
    </row>
    <row r="126" spans="1:5" x14ac:dyDescent="0.3">
      <c r="A126" t="s">
        <v>40</v>
      </c>
      <c r="B126" t="s">
        <v>7</v>
      </c>
      <c r="C126" s="3">
        <v>46223</v>
      </c>
      <c r="D126" s="2">
        <v>0.17708333333333334</v>
      </c>
      <c r="E126" t="str">
        <f t="shared" si="1"/>
        <v>Segment A</v>
      </c>
    </row>
    <row r="127" spans="1:5" x14ac:dyDescent="0.3">
      <c r="A127" t="s">
        <v>40</v>
      </c>
      <c r="B127" t="s">
        <v>6</v>
      </c>
      <c r="C127" s="3">
        <v>46223</v>
      </c>
      <c r="D127" s="2">
        <v>0.17916666666666667</v>
      </c>
      <c r="E127" t="str">
        <f t="shared" si="1"/>
        <v>Segment A</v>
      </c>
    </row>
    <row r="128" spans="1:5" x14ac:dyDescent="0.3">
      <c r="A128" t="s">
        <v>93</v>
      </c>
      <c r="B128" t="s">
        <v>5</v>
      </c>
      <c r="C128" s="3">
        <v>46223</v>
      </c>
      <c r="D128" s="2">
        <v>0.14652777777777778</v>
      </c>
      <c r="E128" t="str">
        <f t="shared" si="1"/>
        <v>Segment A</v>
      </c>
    </row>
    <row r="129" spans="1:5" x14ac:dyDescent="0.3">
      <c r="A129" t="s">
        <v>93</v>
      </c>
      <c r="B129" t="s">
        <v>7</v>
      </c>
      <c r="C129" s="3">
        <v>46223</v>
      </c>
      <c r="D129" s="2">
        <v>0.17916666666666667</v>
      </c>
      <c r="E129" t="str">
        <f t="shared" si="1"/>
        <v>Segment A</v>
      </c>
    </row>
    <row r="130" spans="1:5" x14ac:dyDescent="0.3">
      <c r="A130" t="s">
        <v>93</v>
      </c>
      <c r="B130" t="s">
        <v>6</v>
      </c>
      <c r="C130" s="3">
        <v>46223</v>
      </c>
      <c r="D130" s="2">
        <v>0.19166666666666668</v>
      </c>
      <c r="E130" t="str">
        <f t="shared" si="1"/>
        <v>Segment A</v>
      </c>
    </row>
    <row r="131" spans="1:5" x14ac:dyDescent="0.3">
      <c r="A131" t="s">
        <v>29</v>
      </c>
      <c r="B131" t="s">
        <v>5</v>
      </c>
      <c r="C131" s="3">
        <v>46223</v>
      </c>
      <c r="D131" s="2">
        <v>0.16527777777777777</v>
      </c>
      <c r="E131" t="str">
        <f t="shared" ref="E131:E194" si="2">IF(VALUE(RIGHT(A131,3))&lt;=100,"Segment A","Segment B")</f>
        <v>Segment A</v>
      </c>
    </row>
    <row r="132" spans="1:5" x14ac:dyDescent="0.3">
      <c r="A132" t="s">
        <v>29</v>
      </c>
      <c r="B132" t="s">
        <v>7</v>
      </c>
      <c r="C132" s="3">
        <v>46223</v>
      </c>
      <c r="D132" s="2">
        <v>0.16666666666666666</v>
      </c>
      <c r="E132" t="str">
        <f t="shared" si="2"/>
        <v>Segment A</v>
      </c>
    </row>
    <row r="133" spans="1:5" x14ac:dyDescent="0.3">
      <c r="A133" t="s">
        <v>29</v>
      </c>
      <c r="B133" t="s">
        <v>6</v>
      </c>
      <c r="C133" s="3">
        <v>46223</v>
      </c>
      <c r="D133" s="2">
        <v>0.16666666666666666</v>
      </c>
      <c r="E133" t="str">
        <f t="shared" si="2"/>
        <v>Segment A</v>
      </c>
    </row>
    <row r="134" spans="1:5" x14ac:dyDescent="0.3">
      <c r="A134" t="s">
        <v>24</v>
      </c>
      <c r="B134" t="s">
        <v>5</v>
      </c>
      <c r="C134" s="3">
        <v>46223</v>
      </c>
      <c r="D134" s="2">
        <v>0.16527777777777777</v>
      </c>
      <c r="E134" t="str">
        <f t="shared" si="2"/>
        <v>Segment A</v>
      </c>
    </row>
    <row r="135" spans="1:5" x14ac:dyDescent="0.3">
      <c r="A135" t="s">
        <v>24</v>
      </c>
      <c r="B135" t="s">
        <v>7</v>
      </c>
      <c r="C135" s="3">
        <v>46223</v>
      </c>
      <c r="D135" s="2">
        <v>0.16597222222222222</v>
      </c>
      <c r="E135" t="str">
        <f t="shared" si="2"/>
        <v>Segment A</v>
      </c>
    </row>
    <row r="136" spans="1:5" x14ac:dyDescent="0.3">
      <c r="A136" t="s">
        <v>24</v>
      </c>
      <c r="B136" t="s">
        <v>6</v>
      </c>
      <c r="C136" s="3">
        <v>46223</v>
      </c>
      <c r="D136" s="2">
        <v>0.17916666666666667</v>
      </c>
      <c r="E136" t="str">
        <f t="shared" si="2"/>
        <v>Segment A</v>
      </c>
    </row>
    <row r="137" spans="1:5" x14ac:dyDescent="0.3">
      <c r="A137" t="s">
        <v>194</v>
      </c>
      <c r="B137" t="s">
        <v>5</v>
      </c>
      <c r="C137" s="3">
        <v>46223</v>
      </c>
      <c r="D137" s="2">
        <v>0.15486111111111112</v>
      </c>
      <c r="E137" t="str">
        <f t="shared" si="2"/>
        <v>Segment A</v>
      </c>
    </row>
    <row r="138" spans="1:5" x14ac:dyDescent="0.3">
      <c r="A138" t="s">
        <v>194</v>
      </c>
      <c r="B138" t="s">
        <v>7</v>
      </c>
      <c r="C138" s="3">
        <v>46223</v>
      </c>
      <c r="D138" s="2">
        <v>0.16111111111111112</v>
      </c>
      <c r="E138" t="str">
        <f t="shared" si="2"/>
        <v>Segment A</v>
      </c>
    </row>
    <row r="139" spans="1:5" x14ac:dyDescent="0.3">
      <c r="A139" t="s">
        <v>194</v>
      </c>
      <c r="B139" t="s">
        <v>6</v>
      </c>
      <c r="C139" s="3">
        <v>46223</v>
      </c>
      <c r="D139" s="2">
        <v>0.1701388888888889</v>
      </c>
      <c r="E139" t="str">
        <f t="shared" si="2"/>
        <v>Segment A</v>
      </c>
    </row>
    <row r="140" spans="1:5" x14ac:dyDescent="0.3">
      <c r="A140" t="s">
        <v>201</v>
      </c>
      <c r="B140" t="s">
        <v>5</v>
      </c>
      <c r="C140" s="3">
        <v>46223</v>
      </c>
      <c r="D140" s="2">
        <v>0.15</v>
      </c>
      <c r="E140" t="str">
        <f t="shared" si="2"/>
        <v>Segment A</v>
      </c>
    </row>
    <row r="141" spans="1:5" x14ac:dyDescent="0.3">
      <c r="A141" t="s">
        <v>201</v>
      </c>
      <c r="B141" t="s">
        <v>7</v>
      </c>
      <c r="C141" s="3">
        <v>46223</v>
      </c>
      <c r="D141" s="2">
        <v>0.16111111111111112</v>
      </c>
      <c r="E141" t="str">
        <f t="shared" si="2"/>
        <v>Segment A</v>
      </c>
    </row>
    <row r="142" spans="1:5" x14ac:dyDescent="0.3">
      <c r="A142" t="s">
        <v>201</v>
      </c>
      <c r="B142" t="s">
        <v>8</v>
      </c>
      <c r="C142" s="3">
        <v>46223</v>
      </c>
      <c r="D142" s="2">
        <v>0.18958333333333333</v>
      </c>
      <c r="E142" t="str">
        <f t="shared" si="2"/>
        <v>Segment A</v>
      </c>
    </row>
    <row r="143" spans="1:5" x14ac:dyDescent="0.3">
      <c r="A143" t="s">
        <v>49</v>
      </c>
      <c r="B143" t="s">
        <v>5</v>
      </c>
      <c r="C143" s="3">
        <v>46223</v>
      </c>
      <c r="D143" s="2">
        <v>0.14583333333333334</v>
      </c>
      <c r="E143" t="str">
        <f t="shared" si="2"/>
        <v>Segment A</v>
      </c>
    </row>
    <row r="144" spans="1:5" x14ac:dyDescent="0.3">
      <c r="A144" t="s">
        <v>49</v>
      </c>
      <c r="B144" t="s">
        <v>7</v>
      </c>
      <c r="C144" s="3">
        <v>46223</v>
      </c>
      <c r="D144" s="2">
        <v>0.16388888888888889</v>
      </c>
      <c r="E144" t="str">
        <f t="shared" si="2"/>
        <v>Segment A</v>
      </c>
    </row>
    <row r="145" spans="1:5" x14ac:dyDescent="0.3">
      <c r="A145" t="s">
        <v>49</v>
      </c>
      <c r="B145" t="s">
        <v>8</v>
      </c>
      <c r="C145" s="3">
        <v>46223</v>
      </c>
      <c r="D145" s="2">
        <v>0.18819444444444444</v>
      </c>
      <c r="E145" t="str">
        <f t="shared" si="2"/>
        <v>Segment A</v>
      </c>
    </row>
    <row r="146" spans="1:5" x14ac:dyDescent="0.3">
      <c r="A146" t="s">
        <v>196</v>
      </c>
      <c r="B146" t="s">
        <v>5</v>
      </c>
      <c r="C146" s="3">
        <v>46223</v>
      </c>
      <c r="D146" s="2">
        <v>0.14583333333333334</v>
      </c>
      <c r="E146" t="str">
        <f t="shared" si="2"/>
        <v>Segment A</v>
      </c>
    </row>
    <row r="147" spans="1:5" x14ac:dyDescent="0.3">
      <c r="A147" t="s">
        <v>196</v>
      </c>
      <c r="B147" t="s">
        <v>7</v>
      </c>
      <c r="C147" s="3">
        <v>46223</v>
      </c>
      <c r="D147" s="2">
        <v>0.17499999999999999</v>
      </c>
      <c r="E147" t="str">
        <f t="shared" si="2"/>
        <v>Segment A</v>
      </c>
    </row>
    <row r="148" spans="1:5" x14ac:dyDescent="0.3">
      <c r="A148" t="s">
        <v>196</v>
      </c>
      <c r="B148" t="s">
        <v>8</v>
      </c>
      <c r="C148" s="3">
        <v>46223</v>
      </c>
      <c r="D148" s="2">
        <v>0.2013888888888889</v>
      </c>
      <c r="E148" t="str">
        <f t="shared" si="2"/>
        <v>Segment A</v>
      </c>
    </row>
    <row r="149" spans="1:5" x14ac:dyDescent="0.3">
      <c r="A149" t="s">
        <v>161</v>
      </c>
      <c r="B149" t="s">
        <v>5</v>
      </c>
      <c r="C149" s="3">
        <v>46223</v>
      </c>
      <c r="D149" s="2">
        <v>0.15486111111111112</v>
      </c>
      <c r="E149" t="str">
        <f t="shared" si="2"/>
        <v>Segment A</v>
      </c>
    </row>
    <row r="150" spans="1:5" x14ac:dyDescent="0.3">
      <c r="A150" t="s">
        <v>161</v>
      </c>
      <c r="B150" t="s">
        <v>7</v>
      </c>
      <c r="C150" s="3">
        <v>46223</v>
      </c>
      <c r="D150" s="2">
        <v>0.15763888888888888</v>
      </c>
      <c r="E150" t="str">
        <f t="shared" si="2"/>
        <v>Segment A</v>
      </c>
    </row>
    <row r="151" spans="1:5" x14ac:dyDescent="0.3">
      <c r="A151" t="s">
        <v>161</v>
      </c>
      <c r="B151" t="s">
        <v>8</v>
      </c>
      <c r="C151" s="3">
        <v>46223</v>
      </c>
      <c r="D151" s="2">
        <v>0.19027777777777777</v>
      </c>
      <c r="E151" t="str">
        <f t="shared" si="2"/>
        <v>Segment A</v>
      </c>
    </row>
    <row r="152" spans="1:5" x14ac:dyDescent="0.3">
      <c r="A152" t="s">
        <v>124</v>
      </c>
      <c r="B152" t="s">
        <v>5</v>
      </c>
      <c r="C152" s="3">
        <v>46223</v>
      </c>
      <c r="D152" s="2">
        <v>0.14652777777777778</v>
      </c>
      <c r="E152" t="str">
        <f t="shared" si="2"/>
        <v>Segment A</v>
      </c>
    </row>
    <row r="153" spans="1:5" x14ac:dyDescent="0.3">
      <c r="A153" t="s">
        <v>124</v>
      </c>
      <c r="B153" t="s">
        <v>7</v>
      </c>
      <c r="C153" s="3">
        <v>46223</v>
      </c>
      <c r="D153" s="2">
        <v>0.16319444444444445</v>
      </c>
      <c r="E153" t="str">
        <f t="shared" si="2"/>
        <v>Segment A</v>
      </c>
    </row>
    <row r="154" spans="1:5" x14ac:dyDescent="0.3">
      <c r="A154" t="s">
        <v>124</v>
      </c>
      <c r="B154" t="s">
        <v>8</v>
      </c>
      <c r="C154" s="3">
        <v>46223</v>
      </c>
      <c r="D154" s="2">
        <v>0.17916666666666667</v>
      </c>
      <c r="E154" t="str">
        <f t="shared" si="2"/>
        <v>Segment A</v>
      </c>
    </row>
    <row r="155" spans="1:5" x14ac:dyDescent="0.3">
      <c r="A155" t="s">
        <v>157</v>
      </c>
      <c r="B155" t="s">
        <v>5</v>
      </c>
      <c r="C155" s="3">
        <v>46223</v>
      </c>
      <c r="D155" s="2">
        <v>0.16875000000000001</v>
      </c>
      <c r="E155" t="str">
        <f t="shared" si="2"/>
        <v>Segment A</v>
      </c>
    </row>
    <row r="156" spans="1:5" x14ac:dyDescent="0.3">
      <c r="A156" t="s">
        <v>157</v>
      </c>
      <c r="B156" t="s">
        <v>7</v>
      </c>
      <c r="C156" s="3">
        <v>46223</v>
      </c>
      <c r="D156" s="2">
        <v>0.1701388888888889</v>
      </c>
      <c r="E156" t="str">
        <f t="shared" si="2"/>
        <v>Segment A</v>
      </c>
    </row>
    <row r="157" spans="1:5" x14ac:dyDescent="0.3">
      <c r="A157" t="s">
        <v>157</v>
      </c>
      <c r="B157" t="s">
        <v>8</v>
      </c>
      <c r="C157" s="3">
        <v>46223</v>
      </c>
      <c r="D157" s="2">
        <v>0.18888888888888888</v>
      </c>
      <c r="E157" t="str">
        <f t="shared" si="2"/>
        <v>Segment A</v>
      </c>
    </row>
    <row r="158" spans="1:5" x14ac:dyDescent="0.3">
      <c r="A158" t="s">
        <v>89</v>
      </c>
      <c r="B158" t="s">
        <v>5</v>
      </c>
      <c r="C158" s="3">
        <v>46223</v>
      </c>
      <c r="D158" s="2">
        <v>0.17083333333333334</v>
      </c>
      <c r="E158" t="str">
        <f t="shared" si="2"/>
        <v>Segment A</v>
      </c>
    </row>
    <row r="159" spans="1:5" x14ac:dyDescent="0.3">
      <c r="A159" t="s">
        <v>89</v>
      </c>
      <c r="B159" t="s">
        <v>7</v>
      </c>
      <c r="C159" s="3">
        <v>46223</v>
      </c>
      <c r="D159" s="2">
        <v>0.15833333333333333</v>
      </c>
      <c r="E159" t="str">
        <f t="shared" si="2"/>
        <v>Segment A</v>
      </c>
    </row>
    <row r="160" spans="1:5" x14ac:dyDescent="0.3">
      <c r="A160" t="s">
        <v>89</v>
      </c>
      <c r="B160" t="s">
        <v>8</v>
      </c>
      <c r="C160" s="3">
        <v>46223</v>
      </c>
      <c r="D160" s="2">
        <v>0.18402777777777779</v>
      </c>
      <c r="E160" t="str">
        <f t="shared" si="2"/>
        <v>Segment A</v>
      </c>
    </row>
    <row r="161" spans="1:5" x14ac:dyDescent="0.3">
      <c r="A161" t="s">
        <v>190</v>
      </c>
      <c r="B161" t="s">
        <v>5</v>
      </c>
      <c r="C161" s="3">
        <v>46223</v>
      </c>
      <c r="D161" s="2">
        <v>0.16944444444444445</v>
      </c>
      <c r="E161" t="str">
        <f t="shared" si="2"/>
        <v>Segment A</v>
      </c>
    </row>
    <row r="162" spans="1:5" x14ac:dyDescent="0.3">
      <c r="A162" t="s">
        <v>190</v>
      </c>
      <c r="B162" t="s">
        <v>7</v>
      </c>
      <c r="C162" s="3">
        <v>46223</v>
      </c>
      <c r="D162" s="2">
        <v>0.1673611111111111</v>
      </c>
      <c r="E162" t="str">
        <f t="shared" si="2"/>
        <v>Segment A</v>
      </c>
    </row>
    <row r="163" spans="1:5" x14ac:dyDescent="0.3">
      <c r="A163" t="s">
        <v>190</v>
      </c>
      <c r="B163" t="s">
        <v>8</v>
      </c>
      <c r="C163" s="3">
        <v>46223</v>
      </c>
      <c r="D163" s="2">
        <v>0.1875</v>
      </c>
      <c r="E163" t="str">
        <f t="shared" si="2"/>
        <v>Segment A</v>
      </c>
    </row>
    <row r="164" spans="1:5" x14ac:dyDescent="0.3">
      <c r="A164" t="s">
        <v>211</v>
      </c>
      <c r="B164" t="s">
        <v>5</v>
      </c>
      <c r="C164" s="3">
        <v>46223</v>
      </c>
      <c r="D164" s="2">
        <v>0.15347222222222223</v>
      </c>
      <c r="E164" t="str">
        <f t="shared" si="2"/>
        <v>Segment A</v>
      </c>
    </row>
    <row r="165" spans="1:5" x14ac:dyDescent="0.3">
      <c r="A165" t="s">
        <v>211</v>
      </c>
      <c r="B165" t="s">
        <v>7</v>
      </c>
      <c r="C165" s="3">
        <v>46223</v>
      </c>
      <c r="D165" s="2">
        <v>0.16319444444444445</v>
      </c>
      <c r="E165" t="str">
        <f t="shared" si="2"/>
        <v>Segment A</v>
      </c>
    </row>
    <row r="166" spans="1:5" x14ac:dyDescent="0.3">
      <c r="A166" t="s">
        <v>211</v>
      </c>
      <c r="B166" t="s">
        <v>8</v>
      </c>
      <c r="C166" s="3">
        <v>46223</v>
      </c>
      <c r="D166" s="2">
        <v>0.19305555555555556</v>
      </c>
      <c r="E166" t="str">
        <f t="shared" si="2"/>
        <v>Segment A</v>
      </c>
    </row>
    <row r="167" spans="1:5" x14ac:dyDescent="0.3">
      <c r="A167" t="s">
        <v>130</v>
      </c>
      <c r="B167" t="s">
        <v>5</v>
      </c>
      <c r="C167" s="3">
        <v>46223</v>
      </c>
      <c r="D167" s="2">
        <v>0.15138888888888888</v>
      </c>
      <c r="E167" t="str">
        <f t="shared" si="2"/>
        <v>Segment A</v>
      </c>
    </row>
    <row r="168" spans="1:5" x14ac:dyDescent="0.3">
      <c r="A168" t="s">
        <v>130</v>
      </c>
      <c r="B168" t="s">
        <v>7</v>
      </c>
      <c r="C168" s="3">
        <v>46223</v>
      </c>
      <c r="D168" s="2">
        <v>0.17222222222222222</v>
      </c>
      <c r="E168" t="str">
        <f t="shared" si="2"/>
        <v>Segment A</v>
      </c>
    </row>
    <row r="169" spans="1:5" x14ac:dyDescent="0.3">
      <c r="A169" t="s">
        <v>130</v>
      </c>
      <c r="B169" t="s">
        <v>8</v>
      </c>
      <c r="C169" s="3">
        <v>46223</v>
      </c>
      <c r="D169" s="2">
        <v>0.19027777777777777</v>
      </c>
      <c r="E169" t="str">
        <f t="shared" si="2"/>
        <v>Segment A</v>
      </c>
    </row>
    <row r="170" spans="1:5" x14ac:dyDescent="0.3">
      <c r="A170" t="s">
        <v>41</v>
      </c>
      <c r="B170" t="s">
        <v>5</v>
      </c>
      <c r="C170" s="3">
        <v>46223</v>
      </c>
      <c r="D170" s="2">
        <v>0.1701388888888889</v>
      </c>
      <c r="E170" t="str">
        <f t="shared" si="2"/>
        <v>Segment A</v>
      </c>
    </row>
    <row r="171" spans="1:5" x14ac:dyDescent="0.3">
      <c r="A171" t="s">
        <v>41</v>
      </c>
      <c r="B171" t="s">
        <v>7</v>
      </c>
      <c r="C171" s="3">
        <v>46223</v>
      </c>
      <c r="D171" s="2">
        <v>0.1701388888888889</v>
      </c>
      <c r="E171" t="str">
        <f t="shared" si="2"/>
        <v>Segment A</v>
      </c>
    </row>
    <row r="172" spans="1:5" x14ac:dyDescent="0.3">
      <c r="A172" t="s">
        <v>41</v>
      </c>
      <c r="B172" t="s">
        <v>8</v>
      </c>
      <c r="C172" s="3">
        <v>46223</v>
      </c>
      <c r="D172" s="2">
        <v>0.19444444444444445</v>
      </c>
      <c r="E172" t="str">
        <f t="shared" si="2"/>
        <v>Segment A</v>
      </c>
    </row>
    <row r="173" spans="1:5" x14ac:dyDescent="0.3">
      <c r="A173" t="s">
        <v>174</v>
      </c>
      <c r="B173" t="s">
        <v>5</v>
      </c>
      <c r="C173" s="3">
        <v>46223</v>
      </c>
      <c r="D173" s="2">
        <v>0.14722222222222223</v>
      </c>
      <c r="E173" t="str">
        <f t="shared" si="2"/>
        <v>Segment A</v>
      </c>
    </row>
    <row r="174" spans="1:5" x14ac:dyDescent="0.3">
      <c r="A174" t="s">
        <v>174</v>
      </c>
      <c r="B174" t="s">
        <v>7</v>
      </c>
      <c r="C174" s="3">
        <v>46223</v>
      </c>
      <c r="D174" s="2">
        <v>0.18194444444444444</v>
      </c>
      <c r="E174" t="str">
        <f t="shared" si="2"/>
        <v>Segment A</v>
      </c>
    </row>
    <row r="175" spans="1:5" x14ac:dyDescent="0.3">
      <c r="A175" t="s">
        <v>174</v>
      </c>
      <c r="B175" t="s">
        <v>8</v>
      </c>
      <c r="C175" s="3">
        <v>46223</v>
      </c>
      <c r="D175" s="2">
        <v>0.19027777777777777</v>
      </c>
      <c r="E175" t="str">
        <f t="shared" si="2"/>
        <v>Segment A</v>
      </c>
    </row>
    <row r="176" spans="1:5" x14ac:dyDescent="0.3">
      <c r="A176" t="s">
        <v>45</v>
      </c>
      <c r="B176" t="s">
        <v>5</v>
      </c>
      <c r="C176" s="3">
        <v>46223</v>
      </c>
      <c r="D176" s="2">
        <v>0.14583333333333334</v>
      </c>
      <c r="E176" t="str">
        <f t="shared" si="2"/>
        <v>Segment A</v>
      </c>
    </row>
    <row r="177" spans="1:5" x14ac:dyDescent="0.3">
      <c r="A177" t="s">
        <v>45</v>
      </c>
      <c r="B177" t="s">
        <v>7</v>
      </c>
      <c r="C177" s="3">
        <v>46223</v>
      </c>
      <c r="D177" s="2">
        <v>0.15694444444444444</v>
      </c>
      <c r="E177" t="str">
        <f t="shared" si="2"/>
        <v>Segment A</v>
      </c>
    </row>
    <row r="178" spans="1:5" x14ac:dyDescent="0.3">
      <c r="A178" t="s">
        <v>45</v>
      </c>
      <c r="B178" t="s">
        <v>8</v>
      </c>
      <c r="C178" s="3">
        <v>46223</v>
      </c>
      <c r="D178" s="2">
        <v>0.18333333333333332</v>
      </c>
      <c r="E178" t="str">
        <f t="shared" si="2"/>
        <v>Segment A</v>
      </c>
    </row>
    <row r="179" spans="1:5" x14ac:dyDescent="0.3">
      <c r="A179" t="s">
        <v>61</v>
      </c>
      <c r="B179" t="s">
        <v>5</v>
      </c>
      <c r="C179" s="3">
        <v>46223</v>
      </c>
      <c r="D179" s="2">
        <v>0.16527777777777777</v>
      </c>
      <c r="E179" t="str">
        <f t="shared" si="2"/>
        <v>Segment A</v>
      </c>
    </row>
    <row r="180" spans="1:5" x14ac:dyDescent="0.3">
      <c r="A180" t="s">
        <v>61</v>
      </c>
      <c r="B180" t="s">
        <v>7</v>
      </c>
      <c r="C180" s="3">
        <v>46223</v>
      </c>
      <c r="D180" s="2">
        <v>0.18194444444444444</v>
      </c>
      <c r="E180" t="str">
        <f t="shared" si="2"/>
        <v>Segment A</v>
      </c>
    </row>
    <row r="181" spans="1:5" x14ac:dyDescent="0.3">
      <c r="A181" t="s">
        <v>61</v>
      </c>
      <c r="B181" t="s">
        <v>8</v>
      </c>
      <c r="C181" s="3">
        <v>46223</v>
      </c>
      <c r="D181" s="2">
        <v>0.18124999999999999</v>
      </c>
      <c r="E181" t="str">
        <f t="shared" si="2"/>
        <v>Segment A</v>
      </c>
    </row>
    <row r="182" spans="1:5" x14ac:dyDescent="0.3">
      <c r="A182" t="s">
        <v>20</v>
      </c>
      <c r="B182" t="s">
        <v>5</v>
      </c>
      <c r="C182" s="3">
        <v>46223</v>
      </c>
      <c r="D182" s="2">
        <v>0.17222222222222222</v>
      </c>
      <c r="E182" t="str">
        <f t="shared" si="2"/>
        <v>Segment A</v>
      </c>
    </row>
    <row r="183" spans="1:5" x14ac:dyDescent="0.3">
      <c r="A183" t="s">
        <v>20</v>
      </c>
      <c r="B183" t="s">
        <v>7</v>
      </c>
      <c r="C183" s="3">
        <v>46223</v>
      </c>
      <c r="D183" s="2">
        <v>0.17708333333333334</v>
      </c>
      <c r="E183" t="str">
        <f t="shared" si="2"/>
        <v>Segment A</v>
      </c>
    </row>
    <row r="184" spans="1:5" x14ac:dyDescent="0.3">
      <c r="A184" t="s">
        <v>20</v>
      </c>
      <c r="B184" t="s">
        <v>8</v>
      </c>
      <c r="C184" s="3">
        <v>46223</v>
      </c>
      <c r="D184" s="2">
        <v>0.2013888888888889</v>
      </c>
      <c r="E184" t="str">
        <f t="shared" si="2"/>
        <v>Segment A</v>
      </c>
    </row>
    <row r="185" spans="1:5" x14ac:dyDescent="0.3">
      <c r="A185" t="s">
        <v>109</v>
      </c>
      <c r="B185" t="s">
        <v>5</v>
      </c>
      <c r="C185" s="3">
        <v>46223</v>
      </c>
      <c r="D185" s="2">
        <v>0.15694444444444444</v>
      </c>
      <c r="E185" t="str">
        <f t="shared" si="2"/>
        <v>Segment A</v>
      </c>
    </row>
    <row r="186" spans="1:5" x14ac:dyDescent="0.3">
      <c r="A186" t="s">
        <v>109</v>
      </c>
      <c r="B186" t="s">
        <v>7</v>
      </c>
      <c r="C186" s="3">
        <v>46223</v>
      </c>
      <c r="D186" s="2">
        <v>0.18263888888888888</v>
      </c>
      <c r="E186" t="str">
        <f t="shared" si="2"/>
        <v>Segment A</v>
      </c>
    </row>
    <row r="187" spans="1:5" x14ac:dyDescent="0.3">
      <c r="A187" t="s">
        <v>109</v>
      </c>
      <c r="B187" t="s">
        <v>8</v>
      </c>
      <c r="C187" s="3">
        <v>46223</v>
      </c>
      <c r="D187" s="2">
        <v>0.20069444444444445</v>
      </c>
      <c r="E187" t="str">
        <f t="shared" si="2"/>
        <v>Segment A</v>
      </c>
    </row>
    <row r="188" spans="1:5" x14ac:dyDescent="0.3">
      <c r="A188" t="s">
        <v>30</v>
      </c>
      <c r="B188" t="s">
        <v>5</v>
      </c>
      <c r="C188" s="3">
        <v>46223</v>
      </c>
      <c r="D188" s="2">
        <v>0.15833333333333333</v>
      </c>
      <c r="E188" t="str">
        <f t="shared" si="2"/>
        <v>Segment A</v>
      </c>
    </row>
    <row r="189" spans="1:5" x14ac:dyDescent="0.3">
      <c r="A189" t="s">
        <v>30</v>
      </c>
      <c r="B189" t="s">
        <v>7</v>
      </c>
      <c r="C189" s="3">
        <v>46223</v>
      </c>
      <c r="D189" s="2">
        <v>0.15972222222222221</v>
      </c>
      <c r="E189" t="str">
        <f t="shared" si="2"/>
        <v>Segment A</v>
      </c>
    </row>
    <row r="190" spans="1:5" x14ac:dyDescent="0.3">
      <c r="A190" t="s">
        <v>30</v>
      </c>
      <c r="B190" t="s">
        <v>8</v>
      </c>
      <c r="C190" s="3">
        <v>46223</v>
      </c>
      <c r="D190" s="2">
        <v>0.19236111111111112</v>
      </c>
      <c r="E190" t="str">
        <f t="shared" si="2"/>
        <v>Segment A</v>
      </c>
    </row>
    <row r="191" spans="1:5" x14ac:dyDescent="0.3">
      <c r="A191" t="s">
        <v>22</v>
      </c>
      <c r="B191" t="s">
        <v>5</v>
      </c>
      <c r="C191" s="3">
        <v>46223</v>
      </c>
      <c r="D191" s="2">
        <v>0.16111111111111112</v>
      </c>
      <c r="E191" t="str">
        <f t="shared" si="2"/>
        <v>Segment A</v>
      </c>
    </row>
    <row r="192" spans="1:5" x14ac:dyDescent="0.3">
      <c r="A192" t="s">
        <v>22</v>
      </c>
      <c r="B192" t="s">
        <v>7</v>
      </c>
      <c r="C192" s="3">
        <v>46223</v>
      </c>
      <c r="D192" s="2">
        <v>0.17499999999999999</v>
      </c>
      <c r="E192" t="str">
        <f t="shared" si="2"/>
        <v>Segment A</v>
      </c>
    </row>
    <row r="193" spans="1:5" x14ac:dyDescent="0.3">
      <c r="A193" t="s">
        <v>22</v>
      </c>
      <c r="B193" t="s">
        <v>8</v>
      </c>
      <c r="C193" s="3">
        <v>46223</v>
      </c>
      <c r="D193" s="2">
        <v>0.18333333333333332</v>
      </c>
      <c r="E193" t="str">
        <f t="shared" si="2"/>
        <v>Segment A</v>
      </c>
    </row>
    <row r="194" spans="1:5" x14ac:dyDescent="0.3">
      <c r="A194" t="s">
        <v>86</v>
      </c>
      <c r="B194" t="s">
        <v>5</v>
      </c>
      <c r="C194" s="3">
        <v>46223</v>
      </c>
      <c r="D194" s="2">
        <v>0.16597222222222222</v>
      </c>
      <c r="E194" t="str">
        <f t="shared" si="2"/>
        <v>Segment A</v>
      </c>
    </row>
    <row r="195" spans="1:5" x14ac:dyDescent="0.3">
      <c r="A195" t="s">
        <v>86</v>
      </c>
      <c r="B195" t="s">
        <v>7</v>
      </c>
      <c r="C195" s="3">
        <v>46223</v>
      </c>
      <c r="D195" s="2">
        <v>0.16875000000000001</v>
      </c>
      <c r="E195" t="str">
        <f t="shared" ref="E195:E258" si="3">IF(VALUE(RIGHT(A195,3))&lt;=100,"Segment A","Segment B")</f>
        <v>Segment A</v>
      </c>
    </row>
    <row r="196" spans="1:5" x14ac:dyDescent="0.3">
      <c r="A196" t="s">
        <v>86</v>
      </c>
      <c r="B196" t="s">
        <v>8</v>
      </c>
      <c r="C196" s="3">
        <v>46223</v>
      </c>
      <c r="D196" s="2">
        <v>0.19097222222222221</v>
      </c>
      <c r="E196" t="str">
        <f t="shared" si="3"/>
        <v>Segment A</v>
      </c>
    </row>
    <row r="197" spans="1:5" x14ac:dyDescent="0.3">
      <c r="A197" t="s">
        <v>58</v>
      </c>
      <c r="B197" t="s">
        <v>5</v>
      </c>
      <c r="C197" s="3">
        <v>46223</v>
      </c>
      <c r="D197" s="2">
        <v>0.17152777777777778</v>
      </c>
      <c r="E197" t="str">
        <f t="shared" si="3"/>
        <v>Segment A</v>
      </c>
    </row>
    <row r="198" spans="1:5" x14ac:dyDescent="0.3">
      <c r="A198" t="s">
        <v>58</v>
      </c>
      <c r="B198" t="s">
        <v>7</v>
      </c>
      <c r="C198" s="3">
        <v>46223</v>
      </c>
      <c r="D198" s="2">
        <v>0.15694444444444444</v>
      </c>
      <c r="E198" t="str">
        <f t="shared" si="3"/>
        <v>Segment A</v>
      </c>
    </row>
    <row r="199" spans="1:5" x14ac:dyDescent="0.3">
      <c r="A199" t="s">
        <v>58</v>
      </c>
      <c r="B199" t="s">
        <v>8</v>
      </c>
      <c r="C199" s="3">
        <v>46223</v>
      </c>
      <c r="D199" s="2">
        <v>0.19583333333333333</v>
      </c>
      <c r="E199" t="str">
        <f t="shared" si="3"/>
        <v>Segment A</v>
      </c>
    </row>
    <row r="200" spans="1:5" x14ac:dyDescent="0.3">
      <c r="A200" t="s">
        <v>170</v>
      </c>
      <c r="B200" t="s">
        <v>5</v>
      </c>
      <c r="C200" s="3">
        <v>46223</v>
      </c>
      <c r="D200" s="2">
        <v>0.14861111111111111</v>
      </c>
      <c r="E200" t="str">
        <f t="shared" si="3"/>
        <v>Segment A</v>
      </c>
    </row>
    <row r="201" spans="1:5" x14ac:dyDescent="0.3">
      <c r="A201" t="s">
        <v>170</v>
      </c>
      <c r="B201" t="s">
        <v>7</v>
      </c>
      <c r="C201" s="3">
        <v>46223</v>
      </c>
      <c r="D201" s="2">
        <v>0.16388888888888889</v>
      </c>
      <c r="E201" t="str">
        <f t="shared" si="3"/>
        <v>Segment A</v>
      </c>
    </row>
    <row r="202" spans="1:5" x14ac:dyDescent="0.3">
      <c r="A202" t="s">
        <v>170</v>
      </c>
      <c r="B202" t="s">
        <v>8</v>
      </c>
      <c r="C202" s="3">
        <v>46223</v>
      </c>
      <c r="D202" s="2">
        <v>0.19236111111111112</v>
      </c>
      <c r="E202" t="str">
        <f t="shared" si="3"/>
        <v>Segment A</v>
      </c>
    </row>
    <row r="203" spans="1:5" x14ac:dyDescent="0.3">
      <c r="A203" t="s">
        <v>158</v>
      </c>
      <c r="B203" t="s">
        <v>5</v>
      </c>
      <c r="C203" s="3">
        <v>46223</v>
      </c>
      <c r="D203" s="2">
        <v>0.16875000000000001</v>
      </c>
      <c r="E203" t="str">
        <f t="shared" si="3"/>
        <v>Segment A</v>
      </c>
    </row>
    <row r="204" spans="1:5" x14ac:dyDescent="0.3">
      <c r="A204" t="s">
        <v>158</v>
      </c>
      <c r="B204" t="s">
        <v>7</v>
      </c>
      <c r="C204" s="3">
        <v>46223</v>
      </c>
      <c r="D204" s="2">
        <v>0.15902777777777777</v>
      </c>
      <c r="E204" t="str">
        <f t="shared" si="3"/>
        <v>Segment A</v>
      </c>
    </row>
    <row r="205" spans="1:5" x14ac:dyDescent="0.3">
      <c r="A205" t="s">
        <v>158</v>
      </c>
      <c r="B205" t="s">
        <v>8</v>
      </c>
      <c r="C205" s="3">
        <v>46223</v>
      </c>
      <c r="D205" s="2">
        <v>0.17916666666666667</v>
      </c>
      <c r="E205" t="str">
        <f t="shared" si="3"/>
        <v>Segment A</v>
      </c>
    </row>
    <row r="206" spans="1:5" x14ac:dyDescent="0.3">
      <c r="A206" t="s">
        <v>83</v>
      </c>
      <c r="B206" t="s">
        <v>5</v>
      </c>
      <c r="C206" s="3">
        <v>46223</v>
      </c>
      <c r="D206" s="2">
        <v>0.15416666666666667</v>
      </c>
      <c r="E206" t="str">
        <f t="shared" si="3"/>
        <v>Segment A</v>
      </c>
    </row>
    <row r="207" spans="1:5" x14ac:dyDescent="0.3">
      <c r="A207" t="s">
        <v>83</v>
      </c>
      <c r="B207" t="s">
        <v>7</v>
      </c>
      <c r="C207" s="3">
        <v>46223</v>
      </c>
      <c r="D207" s="2">
        <v>0.17916666666666667</v>
      </c>
      <c r="E207" t="str">
        <f t="shared" si="3"/>
        <v>Segment A</v>
      </c>
    </row>
    <row r="208" spans="1:5" x14ac:dyDescent="0.3">
      <c r="A208" t="s">
        <v>83</v>
      </c>
      <c r="B208" t="s">
        <v>8</v>
      </c>
      <c r="C208" s="3">
        <v>46223</v>
      </c>
      <c r="D208" s="2">
        <v>0.19583333333333333</v>
      </c>
      <c r="E208" t="str">
        <f t="shared" si="3"/>
        <v>Segment A</v>
      </c>
    </row>
    <row r="209" spans="1:5" x14ac:dyDescent="0.3">
      <c r="A209" t="s">
        <v>92</v>
      </c>
      <c r="B209" t="s">
        <v>5</v>
      </c>
      <c r="C209" s="3">
        <v>46223</v>
      </c>
      <c r="D209" s="2">
        <v>0.17291666666666666</v>
      </c>
      <c r="E209" t="str">
        <f t="shared" si="3"/>
        <v>Segment A</v>
      </c>
    </row>
    <row r="210" spans="1:5" x14ac:dyDescent="0.3">
      <c r="A210" t="s">
        <v>92</v>
      </c>
      <c r="B210" t="s">
        <v>7</v>
      </c>
      <c r="C210" s="3">
        <v>46223</v>
      </c>
      <c r="D210" s="2">
        <v>0.16458333333333333</v>
      </c>
      <c r="E210" t="str">
        <f t="shared" si="3"/>
        <v>Segment A</v>
      </c>
    </row>
    <row r="211" spans="1:5" x14ac:dyDescent="0.3">
      <c r="A211" t="s">
        <v>92</v>
      </c>
      <c r="B211" t="s">
        <v>8</v>
      </c>
      <c r="C211" s="3">
        <v>46223</v>
      </c>
      <c r="D211" s="2">
        <v>0.2</v>
      </c>
      <c r="E211" t="str">
        <f t="shared" si="3"/>
        <v>Segment A</v>
      </c>
    </row>
    <row r="212" spans="1:5" x14ac:dyDescent="0.3">
      <c r="A212" t="s">
        <v>146</v>
      </c>
      <c r="B212" t="s">
        <v>5</v>
      </c>
      <c r="C212" s="3">
        <v>46223</v>
      </c>
      <c r="D212" s="2">
        <v>0.16597222222222222</v>
      </c>
      <c r="E212" t="str">
        <f t="shared" si="3"/>
        <v>Segment A</v>
      </c>
    </row>
    <row r="213" spans="1:5" x14ac:dyDescent="0.3">
      <c r="A213" t="s">
        <v>146</v>
      </c>
      <c r="B213" t="s">
        <v>7</v>
      </c>
      <c r="C213" s="3">
        <v>46223</v>
      </c>
      <c r="D213" s="2">
        <v>0.16388888888888889</v>
      </c>
      <c r="E213" t="str">
        <f t="shared" si="3"/>
        <v>Segment A</v>
      </c>
    </row>
    <row r="214" spans="1:5" x14ac:dyDescent="0.3">
      <c r="A214" t="s">
        <v>146</v>
      </c>
      <c r="B214" t="s">
        <v>8</v>
      </c>
      <c r="C214" s="3">
        <v>46223</v>
      </c>
      <c r="D214" s="2">
        <v>0.20347222222222222</v>
      </c>
      <c r="E214" t="str">
        <f t="shared" si="3"/>
        <v>Segment A</v>
      </c>
    </row>
    <row r="215" spans="1:5" x14ac:dyDescent="0.3">
      <c r="A215" t="s">
        <v>135</v>
      </c>
      <c r="B215" t="s">
        <v>5</v>
      </c>
      <c r="C215" s="3">
        <v>46223</v>
      </c>
      <c r="D215" s="2">
        <v>0.15763888888888888</v>
      </c>
      <c r="E215" t="str">
        <f t="shared" si="3"/>
        <v>Segment A</v>
      </c>
    </row>
    <row r="216" spans="1:5" x14ac:dyDescent="0.3">
      <c r="A216" t="s">
        <v>135</v>
      </c>
      <c r="B216" t="s">
        <v>7</v>
      </c>
      <c r="C216" s="3">
        <v>46223</v>
      </c>
      <c r="D216" s="2">
        <v>0.17708333333333334</v>
      </c>
      <c r="E216" t="str">
        <f t="shared" si="3"/>
        <v>Segment A</v>
      </c>
    </row>
    <row r="217" spans="1:5" x14ac:dyDescent="0.3">
      <c r="A217" t="s">
        <v>135</v>
      </c>
      <c r="B217" t="s">
        <v>8</v>
      </c>
      <c r="C217" s="3">
        <v>46223</v>
      </c>
      <c r="D217" s="2">
        <v>0.20069444444444445</v>
      </c>
      <c r="E217" t="str">
        <f t="shared" si="3"/>
        <v>Segment A</v>
      </c>
    </row>
    <row r="218" spans="1:5" x14ac:dyDescent="0.3">
      <c r="A218" t="s">
        <v>80</v>
      </c>
      <c r="B218" t="s">
        <v>5</v>
      </c>
      <c r="C218" s="3">
        <v>46223</v>
      </c>
      <c r="D218" s="2">
        <v>0.14930555555555555</v>
      </c>
      <c r="E218" t="str">
        <f t="shared" si="3"/>
        <v>Segment A</v>
      </c>
    </row>
    <row r="219" spans="1:5" x14ac:dyDescent="0.3">
      <c r="A219" t="s">
        <v>80</v>
      </c>
      <c r="B219" t="s">
        <v>7</v>
      </c>
      <c r="C219" s="3">
        <v>46223</v>
      </c>
      <c r="D219" s="2">
        <v>0.16944444444444445</v>
      </c>
      <c r="E219" t="str">
        <f t="shared" si="3"/>
        <v>Segment A</v>
      </c>
    </row>
    <row r="220" spans="1:5" x14ac:dyDescent="0.3">
      <c r="A220" t="s">
        <v>80</v>
      </c>
      <c r="B220" t="s">
        <v>8</v>
      </c>
      <c r="C220" s="3">
        <v>46223</v>
      </c>
      <c r="D220" s="2">
        <v>0.20208333333333334</v>
      </c>
      <c r="E220" t="str">
        <f t="shared" si="3"/>
        <v>Segment A</v>
      </c>
    </row>
    <row r="221" spans="1:5" x14ac:dyDescent="0.3">
      <c r="A221" t="s">
        <v>42</v>
      </c>
      <c r="B221" t="s">
        <v>5</v>
      </c>
      <c r="C221" s="3">
        <v>46223</v>
      </c>
      <c r="D221" s="2">
        <v>0.14583333333333334</v>
      </c>
      <c r="E221" t="str">
        <f t="shared" si="3"/>
        <v>Segment A</v>
      </c>
    </row>
    <row r="222" spans="1:5" x14ac:dyDescent="0.3">
      <c r="A222" t="s">
        <v>42</v>
      </c>
      <c r="B222" t="s">
        <v>7</v>
      </c>
      <c r="C222" s="3">
        <v>46223</v>
      </c>
      <c r="D222" s="2">
        <v>0.16180555555555556</v>
      </c>
      <c r="E222" t="str">
        <f t="shared" si="3"/>
        <v>Segment A</v>
      </c>
    </row>
    <row r="223" spans="1:5" x14ac:dyDescent="0.3">
      <c r="A223" t="s">
        <v>42</v>
      </c>
      <c r="B223" t="s">
        <v>8</v>
      </c>
      <c r="C223" s="3">
        <v>46223</v>
      </c>
      <c r="D223" s="2">
        <v>0.19236111111111112</v>
      </c>
      <c r="E223" t="str">
        <f t="shared" si="3"/>
        <v>Segment A</v>
      </c>
    </row>
    <row r="224" spans="1:5" x14ac:dyDescent="0.3">
      <c r="A224" t="s">
        <v>122</v>
      </c>
      <c r="B224" t="s">
        <v>5</v>
      </c>
      <c r="C224" s="3">
        <v>46223</v>
      </c>
      <c r="D224" s="2">
        <v>0.17152777777777778</v>
      </c>
      <c r="E224" t="str">
        <f t="shared" si="3"/>
        <v>Segment A</v>
      </c>
    </row>
    <row r="225" spans="1:5" x14ac:dyDescent="0.3">
      <c r="A225" t="s">
        <v>122</v>
      </c>
      <c r="B225" t="s">
        <v>7</v>
      </c>
      <c r="C225" s="3">
        <v>46223</v>
      </c>
      <c r="D225" s="2">
        <v>0.15763888888888888</v>
      </c>
      <c r="E225" t="str">
        <f t="shared" si="3"/>
        <v>Segment A</v>
      </c>
    </row>
    <row r="226" spans="1:5" x14ac:dyDescent="0.3">
      <c r="A226" t="s">
        <v>122</v>
      </c>
      <c r="B226" t="s">
        <v>8</v>
      </c>
      <c r="C226" s="3">
        <v>46223</v>
      </c>
      <c r="D226" s="2">
        <v>0.19027777777777777</v>
      </c>
      <c r="E226" t="str">
        <f t="shared" si="3"/>
        <v>Segment A</v>
      </c>
    </row>
    <row r="227" spans="1:5" x14ac:dyDescent="0.3">
      <c r="A227" t="s">
        <v>76</v>
      </c>
      <c r="B227" t="s">
        <v>5</v>
      </c>
      <c r="C227" s="3">
        <v>46223</v>
      </c>
      <c r="D227" s="2">
        <v>0.16041666666666668</v>
      </c>
      <c r="E227" t="str">
        <f t="shared" si="3"/>
        <v>Segment A</v>
      </c>
    </row>
    <row r="228" spans="1:5" x14ac:dyDescent="0.3">
      <c r="A228" t="s">
        <v>76</v>
      </c>
      <c r="B228" t="s">
        <v>7</v>
      </c>
      <c r="C228" s="3">
        <v>46223</v>
      </c>
      <c r="D228" s="2">
        <v>0.18124999999999999</v>
      </c>
      <c r="E228" t="str">
        <f t="shared" si="3"/>
        <v>Segment A</v>
      </c>
    </row>
    <row r="229" spans="1:5" x14ac:dyDescent="0.3">
      <c r="A229" t="s">
        <v>76</v>
      </c>
      <c r="B229" t="s">
        <v>8</v>
      </c>
      <c r="C229" s="3">
        <v>46223</v>
      </c>
      <c r="D229" s="2">
        <v>0.17708333333333334</v>
      </c>
      <c r="E229" t="str">
        <f t="shared" si="3"/>
        <v>Segment A</v>
      </c>
    </row>
    <row r="230" spans="1:5" x14ac:dyDescent="0.3">
      <c r="A230" t="s">
        <v>82</v>
      </c>
      <c r="B230" t="s">
        <v>5</v>
      </c>
      <c r="C230" s="3">
        <v>46223</v>
      </c>
      <c r="D230" s="2">
        <v>0.16458333333333333</v>
      </c>
      <c r="E230" t="str">
        <f t="shared" si="3"/>
        <v>Segment A</v>
      </c>
    </row>
    <row r="231" spans="1:5" x14ac:dyDescent="0.3">
      <c r="A231" t="s">
        <v>82</v>
      </c>
      <c r="B231" t="s">
        <v>7</v>
      </c>
      <c r="C231" s="3">
        <v>46223</v>
      </c>
      <c r="D231" s="2">
        <v>0.16388888888888889</v>
      </c>
      <c r="E231" t="str">
        <f t="shared" si="3"/>
        <v>Segment A</v>
      </c>
    </row>
    <row r="232" spans="1:5" x14ac:dyDescent="0.3">
      <c r="A232" t="s">
        <v>82</v>
      </c>
      <c r="B232" t="s">
        <v>8</v>
      </c>
      <c r="C232" s="3">
        <v>46223</v>
      </c>
      <c r="D232" s="2">
        <v>0.20069444444444445</v>
      </c>
      <c r="E232" t="str">
        <f t="shared" si="3"/>
        <v>Segment A</v>
      </c>
    </row>
    <row r="233" spans="1:5" x14ac:dyDescent="0.3">
      <c r="A233" t="s">
        <v>66</v>
      </c>
      <c r="B233" t="s">
        <v>5</v>
      </c>
      <c r="C233" s="3">
        <v>46223</v>
      </c>
      <c r="D233" s="2">
        <v>0.17152777777777778</v>
      </c>
      <c r="E233" t="str">
        <f t="shared" si="3"/>
        <v>Segment A</v>
      </c>
    </row>
    <row r="234" spans="1:5" x14ac:dyDescent="0.3">
      <c r="A234" t="s">
        <v>66</v>
      </c>
      <c r="B234" t="s">
        <v>7</v>
      </c>
      <c r="C234" s="3">
        <v>46223</v>
      </c>
      <c r="D234" s="2">
        <v>0.15902777777777777</v>
      </c>
      <c r="E234" t="str">
        <f t="shared" si="3"/>
        <v>Segment A</v>
      </c>
    </row>
    <row r="235" spans="1:5" x14ac:dyDescent="0.3">
      <c r="A235" t="s">
        <v>66</v>
      </c>
      <c r="B235" t="s">
        <v>8</v>
      </c>
      <c r="C235" s="3">
        <v>46223</v>
      </c>
      <c r="D235" s="2">
        <v>0.2013888888888889</v>
      </c>
      <c r="E235" t="str">
        <f t="shared" si="3"/>
        <v>Segment A</v>
      </c>
    </row>
    <row r="236" spans="1:5" x14ac:dyDescent="0.3">
      <c r="A236" t="s">
        <v>134</v>
      </c>
      <c r="B236" t="s">
        <v>5</v>
      </c>
      <c r="C236" s="3">
        <v>46223</v>
      </c>
      <c r="D236" s="2">
        <v>0.15416666666666667</v>
      </c>
      <c r="E236" t="str">
        <f t="shared" si="3"/>
        <v>Segment A</v>
      </c>
    </row>
    <row r="237" spans="1:5" x14ac:dyDescent="0.3">
      <c r="A237" t="s">
        <v>134</v>
      </c>
      <c r="B237" t="s">
        <v>7</v>
      </c>
      <c r="C237" s="3">
        <v>46223</v>
      </c>
      <c r="D237" s="2">
        <v>0.18333333333333332</v>
      </c>
      <c r="E237" t="str">
        <f t="shared" si="3"/>
        <v>Segment A</v>
      </c>
    </row>
    <row r="238" spans="1:5" x14ac:dyDescent="0.3">
      <c r="A238" t="s">
        <v>134</v>
      </c>
      <c r="B238" t="s">
        <v>8</v>
      </c>
      <c r="C238" s="3">
        <v>46223</v>
      </c>
      <c r="D238" s="2">
        <v>0.18472222222222223</v>
      </c>
      <c r="E238" t="str">
        <f t="shared" si="3"/>
        <v>Segment A</v>
      </c>
    </row>
    <row r="239" spans="1:5" x14ac:dyDescent="0.3">
      <c r="A239" t="s">
        <v>115</v>
      </c>
      <c r="B239" t="s">
        <v>5</v>
      </c>
      <c r="C239" s="3">
        <v>46223</v>
      </c>
      <c r="D239" s="2">
        <v>0.16597222222222222</v>
      </c>
      <c r="E239" t="str">
        <f t="shared" si="3"/>
        <v>Segment A</v>
      </c>
    </row>
    <row r="240" spans="1:5" x14ac:dyDescent="0.3">
      <c r="A240" t="s">
        <v>115</v>
      </c>
      <c r="B240" t="s">
        <v>7</v>
      </c>
      <c r="C240" s="3">
        <v>46223</v>
      </c>
      <c r="D240" s="2">
        <v>0.1736111111111111</v>
      </c>
      <c r="E240" t="str">
        <f t="shared" si="3"/>
        <v>Segment A</v>
      </c>
    </row>
    <row r="241" spans="1:5" x14ac:dyDescent="0.3">
      <c r="A241" t="s">
        <v>115</v>
      </c>
      <c r="B241" t="s">
        <v>8</v>
      </c>
      <c r="C241" s="3">
        <v>46223</v>
      </c>
      <c r="D241" s="2">
        <v>0.18888888888888888</v>
      </c>
      <c r="E241" t="str">
        <f t="shared" si="3"/>
        <v>Segment A</v>
      </c>
    </row>
    <row r="242" spans="1:5" x14ac:dyDescent="0.3">
      <c r="A242" t="s">
        <v>101</v>
      </c>
      <c r="B242" t="s">
        <v>5</v>
      </c>
      <c r="C242" s="3">
        <v>46223</v>
      </c>
      <c r="D242" s="2">
        <v>0.15902777777777777</v>
      </c>
      <c r="E242" t="str">
        <f t="shared" si="3"/>
        <v>Segment A</v>
      </c>
    </row>
    <row r="243" spans="1:5" x14ac:dyDescent="0.3">
      <c r="A243" t="s">
        <v>101</v>
      </c>
      <c r="B243" t="s">
        <v>7</v>
      </c>
      <c r="C243" s="3">
        <v>46223</v>
      </c>
      <c r="D243" s="2">
        <v>0.16666666666666666</v>
      </c>
      <c r="E243" t="str">
        <f t="shared" si="3"/>
        <v>Segment A</v>
      </c>
    </row>
    <row r="244" spans="1:5" x14ac:dyDescent="0.3">
      <c r="A244" t="s">
        <v>101</v>
      </c>
      <c r="B244" t="s">
        <v>8</v>
      </c>
      <c r="C244" s="3">
        <v>46223</v>
      </c>
      <c r="D244" s="2">
        <v>0.18333333333333332</v>
      </c>
      <c r="E244" t="str">
        <f t="shared" si="3"/>
        <v>Segment A</v>
      </c>
    </row>
    <row r="245" spans="1:5" x14ac:dyDescent="0.3">
      <c r="A245" t="s">
        <v>137</v>
      </c>
      <c r="B245" t="s">
        <v>5</v>
      </c>
      <c r="C245" s="3">
        <v>46223</v>
      </c>
      <c r="D245" s="2">
        <v>0.15694444444444444</v>
      </c>
      <c r="E245" t="str">
        <f t="shared" si="3"/>
        <v>Segment A</v>
      </c>
    </row>
    <row r="246" spans="1:5" x14ac:dyDescent="0.3">
      <c r="A246" t="s">
        <v>137</v>
      </c>
      <c r="B246" t="s">
        <v>7</v>
      </c>
      <c r="C246" s="3">
        <v>46223</v>
      </c>
      <c r="D246" s="2">
        <v>0.1736111111111111</v>
      </c>
      <c r="E246" t="str">
        <f t="shared" si="3"/>
        <v>Segment A</v>
      </c>
    </row>
    <row r="247" spans="1:5" x14ac:dyDescent="0.3">
      <c r="A247" t="s">
        <v>137</v>
      </c>
      <c r="B247" t="s">
        <v>8</v>
      </c>
      <c r="C247" s="3">
        <v>46223</v>
      </c>
      <c r="D247" s="2">
        <v>0.20347222222222222</v>
      </c>
      <c r="E247" t="str">
        <f t="shared" si="3"/>
        <v>Segment A</v>
      </c>
    </row>
    <row r="248" spans="1:5" x14ac:dyDescent="0.3">
      <c r="A248" t="s">
        <v>79</v>
      </c>
      <c r="B248" t="s">
        <v>5</v>
      </c>
      <c r="C248" s="3">
        <v>46223</v>
      </c>
      <c r="D248" s="2">
        <v>0.16944444444444445</v>
      </c>
      <c r="E248" t="str">
        <f t="shared" si="3"/>
        <v>Segment A</v>
      </c>
    </row>
    <row r="249" spans="1:5" x14ac:dyDescent="0.3">
      <c r="A249" t="s">
        <v>79</v>
      </c>
      <c r="B249" t="s">
        <v>7</v>
      </c>
      <c r="C249" s="3">
        <v>46223</v>
      </c>
      <c r="D249" s="2">
        <v>0.16180555555555556</v>
      </c>
      <c r="E249" t="str">
        <f t="shared" si="3"/>
        <v>Segment A</v>
      </c>
    </row>
    <row r="250" spans="1:5" x14ac:dyDescent="0.3">
      <c r="A250" t="s">
        <v>79</v>
      </c>
      <c r="B250" t="s">
        <v>8</v>
      </c>
      <c r="C250" s="3">
        <v>46223</v>
      </c>
      <c r="D250" s="2">
        <v>0.19305555555555556</v>
      </c>
      <c r="E250" t="str">
        <f t="shared" si="3"/>
        <v>Segment A</v>
      </c>
    </row>
    <row r="251" spans="1:5" x14ac:dyDescent="0.3">
      <c r="A251" t="s">
        <v>189</v>
      </c>
      <c r="B251" t="s">
        <v>5</v>
      </c>
      <c r="C251" s="3">
        <v>46223</v>
      </c>
      <c r="D251" s="2">
        <v>0.15277777777777779</v>
      </c>
      <c r="E251" t="str">
        <f t="shared" si="3"/>
        <v>Segment A</v>
      </c>
    </row>
    <row r="252" spans="1:5" x14ac:dyDescent="0.3">
      <c r="A252" t="s">
        <v>189</v>
      </c>
      <c r="B252" t="s">
        <v>7</v>
      </c>
      <c r="C252" s="3">
        <v>46223</v>
      </c>
      <c r="D252" s="2">
        <v>0.18124999999999999</v>
      </c>
      <c r="E252" t="str">
        <f t="shared" si="3"/>
        <v>Segment A</v>
      </c>
    </row>
    <row r="253" spans="1:5" x14ac:dyDescent="0.3">
      <c r="A253" t="s">
        <v>189</v>
      </c>
      <c r="B253" t="s">
        <v>8</v>
      </c>
      <c r="C253" s="3">
        <v>46223</v>
      </c>
      <c r="D253" s="2">
        <v>0.19097222222222221</v>
      </c>
      <c r="E253" t="str">
        <f t="shared" si="3"/>
        <v>Segment A</v>
      </c>
    </row>
    <row r="254" spans="1:5" x14ac:dyDescent="0.3">
      <c r="A254" t="s">
        <v>121</v>
      </c>
      <c r="B254" t="s">
        <v>5</v>
      </c>
      <c r="C254" s="3">
        <v>46223</v>
      </c>
      <c r="D254" s="2">
        <v>0.17291666666666666</v>
      </c>
      <c r="E254" t="str">
        <f t="shared" si="3"/>
        <v>Segment A</v>
      </c>
    </row>
    <row r="255" spans="1:5" x14ac:dyDescent="0.3">
      <c r="A255" t="s">
        <v>121</v>
      </c>
      <c r="B255" t="s">
        <v>7</v>
      </c>
      <c r="C255" s="3">
        <v>46223</v>
      </c>
      <c r="D255" s="2">
        <v>0.18263888888888888</v>
      </c>
      <c r="E255" t="str">
        <f t="shared" si="3"/>
        <v>Segment A</v>
      </c>
    </row>
    <row r="256" spans="1:5" x14ac:dyDescent="0.3">
      <c r="A256" t="s">
        <v>121</v>
      </c>
      <c r="B256" t="s">
        <v>8</v>
      </c>
      <c r="C256" s="3">
        <v>46223</v>
      </c>
      <c r="D256" s="2">
        <v>0.18888888888888888</v>
      </c>
      <c r="E256" t="str">
        <f t="shared" si="3"/>
        <v>Segment A</v>
      </c>
    </row>
    <row r="257" spans="1:5" x14ac:dyDescent="0.3">
      <c r="A257" t="s">
        <v>177</v>
      </c>
      <c r="B257" t="s">
        <v>5</v>
      </c>
      <c r="C257" s="3">
        <v>46223</v>
      </c>
      <c r="D257" s="2">
        <v>0.17291666666666666</v>
      </c>
      <c r="E257" t="str">
        <f t="shared" si="3"/>
        <v>Segment A</v>
      </c>
    </row>
    <row r="258" spans="1:5" x14ac:dyDescent="0.3">
      <c r="A258" t="s">
        <v>177</v>
      </c>
      <c r="B258" t="s">
        <v>7</v>
      </c>
      <c r="C258" s="3">
        <v>46223</v>
      </c>
      <c r="D258" s="2">
        <v>0.18263888888888888</v>
      </c>
      <c r="E258" t="str">
        <f t="shared" si="3"/>
        <v>Segment A</v>
      </c>
    </row>
    <row r="259" spans="1:5" x14ac:dyDescent="0.3">
      <c r="A259" t="s">
        <v>177</v>
      </c>
      <c r="B259" t="s">
        <v>8</v>
      </c>
      <c r="C259" s="3">
        <v>46223</v>
      </c>
      <c r="D259" s="2">
        <v>0.18263888888888888</v>
      </c>
      <c r="E259" t="str">
        <f t="shared" ref="E259:E322" si="4">IF(VALUE(RIGHT(A259,3))&lt;=100,"Segment A","Segment B")</f>
        <v>Segment A</v>
      </c>
    </row>
    <row r="260" spans="1:5" x14ac:dyDescent="0.3">
      <c r="A260" t="s">
        <v>117</v>
      </c>
      <c r="B260" t="s">
        <v>5</v>
      </c>
      <c r="C260" s="3">
        <v>46223</v>
      </c>
      <c r="D260" s="2">
        <v>0.16388888888888889</v>
      </c>
      <c r="E260" t="str">
        <f t="shared" si="4"/>
        <v>Segment A</v>
      </c>
    </row>
    <row r="261" spans="1:5" x14ac:dyDescent="0.3">
      <c r="A261" t="s">
        <v>117</v>
      </c>
      <c r="B261" t="s">
        <v>7</v>
      </c>
      <c r="C261" s="3">
        <v>46223</v>
      </c>
      <c r="D261" s="2">
        <v>0.15625</v>
      </c>
      <c r="E261" t="str">
        <f t="shared" si="4"/>
        <v>Segment A</v>
      </c>
    </row>
    <row r="262" spans="1:5" x14ac:dyDescent="0.3">
      <c r="A262" t="s">
        <v>117</v>
      </c>
      <c r="B262" t="s">
        <v>8</v>
      </c>
      <c r="C262" s="3">
        <v>46223</v>
      </c>
      <c r="D262" s="2">
        <v>0.18333333333333332</v>
      </c>
      <c r="E262" t="str">
        <f t="shared" si="4"/>
        <v>Segment A</v>
      </c>
    </row>
    <row r="263" spans="1:5" x14ac:dyDescent="0.3">
      <c r="A263" t="s">
        <v>138</v>
      </c>
      <c r="B263" t="s">
        <v>5</v>
      </c>
      <c r="C263" s="3">
        <v>46223</v>
      </c>
      <c r="D263" s="2">
        <v>0.14791666666666667</v>
      </c>
      <c r="E263" t="str">
        <f t="shared" si="4"/>
        <v>Segment A</v>
      </c>
    </row>
    <row r="264" spans="1:5" x14ac:dyDescent="0.3">
      <c r="A264" t="s">
        <v>138</v>
      </c>
      <c r="B264" t="s">
        <v>7</v>
      </c>
      <c r="C264" s="3">
        <v>46223</v>
      </c>
      <c r="D264" s="2">
        <v>0.17083333333333334</v>
      </c>
      <c r="E264" t="str">
        <f t="shared" si="4"/>
        <v>Segment A</v>
      </c>
    </row>
    <row r="265" spans="1:5" x14ac:dyDescent="0.3">
      <c r="A265" t="s">
        <v>138</v>
      </c>
      <c r="B265" t="s">
        <v>8</v>
      </c>
      <c r="C265" s="3">
        <v>46223</v>
      </c>
      <c r="D265" s="2">
        <v>0.19375000000000001</v>
      </c>
      <c r="E265" t="str">
        <f t="shared" si="4"/>
        <v>Segment A</v>
      </c>
    </row>
    <row r="266" spans="1:5" x14ac:dyDescent="0.3">
      <c r="A266" t="s">
        <v>160</v>
      </c>
      <c r="B266" t="s">
        <v>5</v>
      </c>
      <c r="C266" s="3">
        <v>46223</v>
      </c>
      <c r="D266" s="2">
        <v>0.1673611111111111</v>
      </c>
      <c r="E266" t="str">
        <f t="shared" si="4"/>
        <v>Segment A</v>
      </c>
    </row>
    <row r="267" spans="1:5" x14ac:dyDescent="0.3">
      <c r="A267" t="s">
        <v>160</v>
      </c>
      <c r="B267" t="s">
        <v>7</v>
      </c>
      <c r="C267" s="3">
        <v>46223</v>
      </c>
      <c r="D267" s="2">
        <v>0.17847222222222223</v>
      </c>
      <c r="E267" t="str">
        <f t="shared" si="4"/>
        <v>Segment A</v>
      </c>
    </row>
    <row r="268" spans="1:5" x14ac:dyDescent="0.3">
      <c r="A268" t="s">
        <v>160</v>
      </c>
      <c r="B268" t="s">
        <v>8</v>
      </c>
      <c r="C268" s="3">
        <v>46223</v>
      </c>
      <c r="D268" s="2">
        <v>0.19652777777777777</v>
      </c>
      <c r="E268" t="str">
        <f t="shared" si="4"/>
        <v>Segment A</v>
      </c>
    </row>
    <row r="269" spans="1:5" x14ac:dyDescent="0.3">
      <c r="A269" t="s">
        <v>156</v>
      </c>
      <c r="B269" t="s">
        <v>5</v>
      </c>
      <c r="C269" s="3">
        <v>46223</v>
      </c>
      <c r="D269" s="2">
        <v>0.16875000000000001</v>
      </c>
      <c r="E269" t="str">
        <f t="shared" si="4"/>
        <v>Segment A</v>
      </c>
    </row>
    <row r="270" spans="1:5" x14ac:dyDescent="0.3">
      <c r="A270" t="s">
        <v>156</v>
      </c>
      <c r="B270" t="s">
        <v>7</v>
      </c>
      <c r="C270" s="3">
        <v>46223</v>
      </c>
      <c r="D270" s="2">
        <v>0.1736111111111111</v>
      </c>
      <c r="E270" t="str">
        <f t="shared" si="4"/>
        <v>Segment A</v>
      </c>
    </row>
    <row r="271" spans="1:5" x14ac:dyDescent="0.3">
      <c r="A271" t="s">
        <v>156</v>
      </c>
      <c r="B271" t="s">
        <v>8</v>
      </c>
      <c r="C271" s="3">
        <v>46223</v>
      </c>
      <c r="D271" s="2">
        <v>0.20416666666666666</v>
      </c>
      <c r="E271" t="str">
        <f t="shared" si="4"/>
        <v>Segment A</v>
      </c>
    </row>
    <row r="272" spans="1:5" x14ac:dyDescent="0.3">
      <c r="A272" t="s">
        <v>178</v>
      </c>
      <c r="B272" t="s">
        <v>5</v>
      </c>
      <c r="C272" s="3">
        <v>46223</v>
      </c>
      <c r="D272" s="2">
        <v>0.16388888888888889</v>
      </c>
      <c r="E272" t="str">
        <f t="shared" si="4"/>
        <v>Segment A</v>
      </c>
    </row>
    <row r="273" spans="1:5" x14ac:dyDescent="0.3">
      <c r="A273" t="s">
        <v>178</v>
      </c>
      <c r="B273" t="s">
        <v>7</v>
      </c>
      <c r="C273" s="3">
        <v>46223</v>
      </c>
      <c r="D273" s="2">
        <v>0.18055555555555555</v>
      </c>
      <c r="E273" t="str">
        <f t="shared" si="4"/>
        <v>Segment A</v>
      </c>
    </row>
    <row r="274" spans="1:5" x14ac:dyDescent="0.3">
      <c r="A274" t="s">
        <v>178</v>
      </c>
      <c r="B274" t="s">
        <v>8</v>
      </c>
      <c r="C274" s="3">
        <v>46223</v>
      </c>
      <c r="D274" s="2">
        <v>0.1986111111111111</v>
      </c>
      <c r="E274" t="str">
        <f t="shared" si="4"/>
        <v>Segment A</v>
      </c>
    </row>
    <row r="275" spans="1:5" x14ac:dyDescent="0.3">
      <c r="A275" t="s">
        <v>106</v>
      </c>
      <c r="B275" t="s">
        <v>5</v>
      </c>
      <c r="C275" s="3">
        <v>46223</v>
      </c>
      <c r="D275" s="2">
        <v>0.14930555555555555</v>
      </c>
      <c r="E275" t="str">
        <f t="shared" si="4"/>
        <v>Segment A</v>
      </c>
    </row>
    <row r="276" spans="1:5" x14ac:dyDescent="0.3">
      <c r="A276" t="s">
        <v>106</v>
      </c>
      <c r="B276" t="s">
        <v>7</v>
      </c>
      <c r="C276" s="3">
        <v>46223</v>
      </c>
      <c r="D276" s="2">
        <v>0.16388888888888889</v>
      </c>
      <c r="E276" t="str">
        <f t="shared" si="4"/>
        <v>Segment A</v>
      </c>
    </row>
    <row r="277" spans="1:5" x14ac:dyDescent="0.3">
      <c r="A277" t="s">
        <v>106</v>
      </c>
      <c r="B277" t="s">
        <v>8</v>
      </c>
      <c r="C277" s="3">
        <v>46223</v>
      </c>
      <c r="D277" s="2">
        <v>0.17916666666666667</v>
      </c>
      <c r="E277" t="str">
        <f t="shared" si="4"/>
        <v>Segment A</v>
      </c>
    </row>
    <row r="278" spans="1:5" x14ac:dyDescent="0.3">
      <c r="A278" t="s">
        <v>144</v>
      </c>
      <c r="B278" t="s">
        <v>5</v>
      </c>
      <c r="C278" s="3">
        <v>46223</v>
      </c>
      <c r="D278" s="2">
        <v>0.15763888888888888</v>
      </c>
      <c r="E278" t="str">
        <f t="shared" si="4"/>
        <v>Segment A</v>
      </c>
    </row>
    <row r="279" spans="1:5" x14ac:dyDescent="0.3">
      <c r="A279" t="s">
        <v>144</v>
      </c>
      <c r="B279" t="s">
        <v>7</v>
      </c>
      <c r="C279" s="3">
        <v>46223</v>
      </c>
      <c r="D279" s="2">
        <v>0.17083333333333334</v>
      </c>
      <c r="E279" t="str">
        <f t="shared" si="4"/>
        <v>Segment A</v>
      </c>
    </row>
    <row r="280" spans="1:5" x14ac:dyDescent="0.3">
      <c r="A280" t="s">
        <v>144</v>
      </c>
      <c r="B280" t="s">
        <v>8</v>
      </c>
      <c r="C280" s="3">
        <v>46223</v>
      </c>
      <c r="D280" s="2">
        <v>0.18611111111111112</v>
      </c>
      <c r="E280" t="str">
        <f t="shared" si="4"/>
        <v>Segment A</v>
      </c>
    </row>
    <row r="281" spans="1:5" x14ac:dyDescent="0.3">
      <c r="A281" t="s">
        <v>206</v>
      </c>
      <c r="B281" t="s">
        <v>5</v>
      </c>
      <c r="C281" s="3">
        <v>46223</v>
      </c>
      <c r="D281" s="2">
        <v>0.14791666666666667</v>
      </c>
      <c r="E281" t="str">
        <f t="shared" si="4"/>
        <v>Segment A</v>
      </c>
    </row>
    <row r="282" spans="1:5" x14ac:dyDescent="0.3">
      <c r="A282" t="s">
        <v>206</v>
      </c>
      <c r="B282" t="s">
        <v>7</v>
      </c>
      <c r="C282" s="3">
        <v>46223</v>
      </c>
      <c r="D282" s="2">
        <v>0.17222222222222222</v>
      </c>
      <c r="E282" t="str">
        <f t="shared" si="4"/>
        <v>Segment A</v>
      </c>
    </row>
    <row r="283" spans="1:5" x14ac:dyDescent="0.3">
      <c r="A283" t="s">
        <v>206</v>
      </c>
      <c r="B283" t="s">
        <v>8</v>
      </c>
      <c r="C283" s="3">
        <v>46223</v>
      </c>
      <c r="D283" s="2">
        <v>0.17777777777777778</v>
      </c>
      <c r="E283" t="str">
        <f t="shared" si="4"/>
        <v>Segment A</v>
      </c>
    </row>
    <row r="284" spans="1:5" x14ac:dyDescent="0.3">
      <c r="A284" t="s">
        <v>136</v>
      </c>
      <c r="B284" t="s">
        <v>5</v>
      </c>
      <c r="C284" s="3">
        <v>46223</v>
      </c>
      <c r="D284" s="2">
        <v>0.16597222222222222</v>
      </c>
      <c r="E284" t="str">
        <f t="shared" si="4"/>
        <v>Segment A</v>
      </c>
    </row>
    <row r="285" spans="1:5" x14ac:dyDescent="0.3">
      <c r="A285" t="s">
        <v>136</v>
      </c>
      <c r="B285" t="s">
        <v>7</v>
      </c>
      <c r="C285" s="3">
        <v>46223</v>
      </c>
      <c r="D285" s="2">
        <v>0.17847222222222223</v>
      </c>
      <c r="E285" t="str">
        <f t="shared" si="4"/>
        <v>Segment A</v>
      </c>
    </row>
    <row r="286" spans="1:5" x14ac:dyDescent="0.3">
      <c r="A286" t="s">
        <v>136</v>
      </c>
      <c r="B286" t="s">
        <v>8</v>
      </c>
      <c r="C286" s="3">
        <v>46223</v>
      </c>
      <c r="D286" s="2">
        <v>0.18819444444444444</v>
      </c>
      <c r="E286" t="str">
        <f t="shared" si="4"/>
        <v>Segment A</v>
      </c>
    </row>
    <row r="287" spans="1:5" x14ac:dyDescent="0.3">
      <c r="A287" t="s">
        <v>107</v>
      </c>
      <c r="B287" t="s">
        <v>5</v>
      </c>
      <c r="C287" s="3">
        <v>46223</v>
      </c>
      <c r="D287" s="2">
        <v>0.15555555555555556</v>
      </c>
      <c r="E287" t="str">
        <f t="shared" si="4"/>
        <v>Segment A</v>
      </c>
    </row>
    <row r="288" spans="1:5" x14ac:dyDescent="0.3">
      <c r="A288" t="s">
        <v>107</v>
      </c>
      <c r="B288" t="s">
        <v>7</v>
      </c>
      <c r="C288" s="3">
        <v>46223</v>
      </c>
      <c r="D288" s="2">
        <v>0.17152777777777778</v>
      </c>
      <c r="E288" t="str">
        <f t="shared" si="4"/>
        <v>Segment A</v>
      </c>
    </row>
    <row r="289" spans="1:5" x14ac:dyDescent="0.3">
      <c r="A289" t="s">
        <v>107</v>
      </c>
      <c r="B289" t="s">
        <v>8</v>
      </c>
      <c r="C289" s="3">
        <v>46223</v>
      </c>
      <c r="D289" s="2">
        <v>0.19166666666666668</v>
      </c>
      <c r="E289" t="str">
        <f t="shared" si="4"/>
        <v>Segment A</v>
      </c>
    </row>
    <row r="290" spans="1:5" x14ac:dyDescent="0.3">
      <c r="A290" t="s">
        <v>99</v>
      </c>
      <c r="B290" t="s">
        <v>5</v>
      </c>
      <c r="C290" s="3">
        <v>46223</v>
      </c>
      <c r="D290" s="2">
        <v>0.15138888888888888</v>
      </c>
      <c r="E290" t="str">
        <f t="shared" si="4"/>
        <v>Segment A</v>
      </c>
    </row>
    <row r="291" spans="1:5" x14ac:dyDescent="0.3">
      <c r="A291" t="s">
        <v>99</v>
      </c>
      <c r="B291" t="s">
        <v>7</v>
      </c>
      <c r="C291" s="3">
        <v>46223</v>
      </c>
      <c r="D291" s="2">
        <v>0.1736111111111111</v>
      </c>
      <c r="E291" t="str">
        <f t="shared" si="4"/>
        <v>Segment A</v>
      </c>
    </row>
    <row r="292" spans="1:5" x14ac:dyDescent="0.3">
      <c r="A292" t="s">
        <v>99</v>
      </c>
      <c r="B292" t="s">
        <v>8</v>
      </c>
      <c r="C292" s="3">
        <v>46223</v>
      </c>
      <c r="D292" s="2">
        <v>0.19097222222222221</v>
      </c>
      <c r="E292" t="str">
        <f t="shared" si="4"/>
        <v>Segment A</v>
      </c>
    </row>
    <row r="293" spans="1:5" x14ac:dyDescent="0.3">
      <c r="A293" t="s">
        <v>205</v>
      </c>
      <c r="B293" t="s">
        <v>5</v>
      </c>
      <c r="C293" s="3">
        <v>46223</v>
      </c>
      <c r="D293" s="2">
        <v>0.1701388888888889</v>
      </c>
      <c r="E293" t="str">
        <f t="shared" si="4"/>
        <v>Segment A</v>
      </c>
    </row>
    <row r="294" spans="1:5" x14ac:dyDescent="0.3">
      <c r="A294" t="s">
        <v>205</v>
      </c>
      <c r="B294" t="s">
        <v>7</v>
      </c>
      <c r="C294" s="3">
        <v>46223</v>
      </c>
      <c r="D294" s="2">
        <v>0.17222222222222222</v>
      </c>
      <c r="E294" t="str">
        <f t="shared" si="4"/>
        <v>Segment A</v>
      </c>
    </row>
    <row r="295" spans="1:5" x14ac:dyDescent="0.3">
      <c r="A295" t="s">
        <v>205</v>
      </c>
      <c r="B295" t="s">
        <v>8</v>
      </c>
      <c r="C295" s="3">
        <v>46223</v>
      </c>
      <c r="D295" s="2">
        <v>0.19652777777777777</v>
      </c>
      <c r="E295" t="str">
        <f t="shared" si="4"/>
        <v>Segment A</v>
      </c>
    </row>
    <row r="296" spans="1:5" x14ac:dyDescent="0.3">
      <c r="A296" t="s">
        <v>151</v>
      </c>
      <c r="B296" t="s">
        <v>5</v>
      </c>
      <c r="C296" s="3">
        <v>46223</v>
      </c>
      <c r="D296" s="2">
        <v>0.14652777777777778</v>
      </c>
      <c r="E296" t="str">
        <f t="shared" si="4"/>
        <v>Segment A</v>
      </c>
    </row>
    <row r="297" spans="1:5" x14ac:dyDescent="0.3">
      <c r="A297" t="s">
        <v>151</v>
      </c>
      <c r="B297" t="s">
        <v>7</v>
      </c>
      <c r="C297" s="3">
        <v>46223</v>
      </c>
      <c r="D297" s="2">
        <v>0.16597222222222222</v>
      </c>
      <c r="E297" t="str">
        <f t="shared" si="4"/>
        <v>Segment A</v>
      </c>
    </row>
    <row r="298" spans="1:5" x14ac:dyDescent="0.3">
      <c r="A298" t="s">
        <v>151</v>
      </c>
      <c r="B298" t="s">
        <v>9</v>
      </c>
      <c r="C298" s="3">
        <v>46223</v>
      </c>
      <c r="D298" s="2">
        <v>0.19930555555555557</v>
      </c>
      <c r="E298" t="str">
        <f t="shared" si="4"/>
        <v>Segment A</v>
      </c>
    </row>
    <row r="299" spans="1:5" x14ac:dyDescent="0.3">
      <c r="A299" t="s">
        <v>114</v>
      </c>
      <c r="B299" t="s">
        <v>5</v>
      </c>
      <c r="C299" s="3">
        <v>46223</v>
      </c>
      <c r="D299" s="2">
        <v>0.14652777777777778</v>
      </c>
      <c r="E299" t="str">
        <f t="shared" si="4"/>
        <v>Segment A</v>
      </c>
    </row>
    <row r="300" spans="1:5" x14ac:dyDescent="0.3">
      <c r="A300" t="s">
        <v>114</v>
      </c>
      <c r="B300" t="s">
        <v>7</v>
      </c>
      <c r="C300" s="3">
        <v>46223</v>
      </c>
      <c r="D300" s="2">
        <v>0.17152777777777778</v>
      </c>
      <c r="E300" t="str">
        <f t="shared" si="4"/>
        <v>Segment A</v>
      </c>
    </row>
    <row r="301" spans="1:5" x14ac:dyDescent="0.3">
      <c r="A301" t="s">
        <v>114</v>
      </c>
      <c r="B301" t="s">
        <v>9</v>
      </c>
      <c r="C301" s="3">
        <v>46223</v>
      </c>
      <c r="D301" s="2">
        <v>0.21180555555555555</v>
      </c>
      <c r="E301" t="str">
        <f t="shared" si="4"/>
        <v>Segment A</v>
      </c>
    </row>
    <row r="302" spans="1:5" x14ac:dyDescent="0.3">
      <c r="A302" t="s">
        <v>179</v>
      </c>
      <c r="B302" t="s">
        <v>5</v>
      </c>
      <c r="C302" s="3">
        <v>46223</v>
      </c>
      <c r="D302" s="2">
        <v>0.14930555555555555</v>
      </c>
      <c r="E302" t="str">
        <f t="shared" si="4"/>
        <v>Segment B</v>
      </c>
    </row>
    <row r="303" spans="1:5" x14ac:dyDescent="0.3">
      <c r="A303" t="s">
        <v>179</v>
      </c>
      <c r="B303" t="s">
        <v>7</v>
      </c>
      <c r="C303" s="3">
        <v>46223</v>
      </c>
      <c r="D303" s="2">
        <v>0.1701388888888889</v>
      </c>
      <c r="E303" t="str">
        <f t="shared" si="4"/>
        <v>Segment B</v>
      </c>
    </row>
    <row r="304" spans="1:5" x14ac:dyDescent="0.3">
      <c r="A304" t="s">
        <v>179</v>
      </c>
      <c r="B304" t="s">
        <v>9</v>
      </c>
      <c r="C304" s="3">
        <v>46223</v>
      </c>
      <c r="D304" s="2">
        <v>0.18958333333333333</v>
      </c>
      <c r="E304" t="str">
        <f t="shared" si="4"/>
        <v>Segment B</v>
      </c>
    </row>
    <row r="305" spans="1:5" x14ac:dyDescent="0.3">
      <c r="A305" t="s">
        <v>199</v>
      </c>
      <c r="B305" t="s">
        <v>5</v>
      </c>
      <c r="C305" s="3">
        <v>46223</v>
      </c>
      <c r="D305" s="2">
        <v>0.15138888888888888</v>
      </c>
      <c r="E305" t="str">
        <f t="shared" si="4"/>
        <v>Segment B</v>
      </c>
    </row>
    <row r="306" spans="1:5" x14ac:dyDescent="0.3">
      <c r="A306" t="s">
        <v>199</v>
      </c>
      <c r="B306" t="s">
        <v>7</v>
      </c>
      <c r="C306" s="3">
        <v>46223</v>
      </c>
      <c r="D306" s="2">
        <v>0.1673611111111111</v>
      </c>
      <c r="E306" t="str">
        <f t="shared" si="4"/>
        <v>Segment B</v>
      </c>
    </row>
    <row r="307" spans="1:5" x14ac:dyDescent="0.3">
      <c r="A307" t="s">
        <v>199</v>
      </c>
      <c r="B307" t="s">
        <v>9</v>
      </c>
      <c r="C307" s="3">
        <v>46223</v>
      </c>
      <c r="D307" s="2">
        <v>0.20555555555555555</v>
      </c>
      <c r="E307" t="str">
        <f t="shared" si="4"/>
        <v>Segment B</v>
      </c>
    </row>
    <row r="308" spans="1:5" x14ac:dyDescent="0.3">
      <c r="A308" t="s">
        <v>25</v>
      </c>
      <c r="B308" t="s">
        <v>5</v>
      </c>
      <c r="C308" s="3">
        <v>46223</v>
      </c>
      <c r="D308" s="2">
        <v>0.15555555555555556</v>
      </c>
      <c r="E308" t="str">
        <f t="shared" si="4"/>
        <v>Segment B</v>
      </c>
    </row>
    <row r="309" spans="1:5" x14ac:dyDescent="0.3">
      <c r="A309" t="s">
        <v>25</v>
      </c>
      <c r="B309" t="s">
        <v>7</v>
      </c>
      <c r="C309" s="3">
        <v>46223</v>
      </c>
      <c r="D309" s="2">
        <v>0.17083333333333334</v>
      </c>
      <c r="E309" t="str">
        <f t="shared" si="4"/>
        <v>Segment B</v>
      </c>
    </row>
    <row r="310" spans="1:5" x14ac:dyDescent="0.3">
      <c r="A310" t="s">
        <v>25</v>
      </c>
      <c r="B310" t="s">
        <v>9</v>
      </c>
      <c r="C310" s="3">
        <v>46223</v>
      </c>
      <c r="D310" s="2">
        <v>0.20624999999999999</v>
      </c>
      <c r="E310" t="str">
        <f t="shared" si="4"/>
        <v>Segment B</v>
      </c>
    </row>
    <row r="311" spans="1:5" x14ac:dyDescent="0.3">
      <c r="A311" t="s">
        <v>71</v>
      </c>
      <c r="B311" t="s">
        <v>5</v>
      </c>
      <c r="C311" s="3">
        <v>46223</v>
      </c>
      <c r="D311" s="2">
        <v>0.15625</v>
      </c>
      <c r="E311" t="str">
        <f t="shared" si="4"/>
        <v>Segment B</v>
      </c>
    </row>
    <row r="312" spans="1:5" x14ac:dyDescent="0.3">
      <c r="A312" t="s">
        <v>71</v>
      </c>
      <c r="B312" t="s">
        <v>7</v>
      </c>
      <c r="C312" s="3">
        <v>46223</v>
      </c>
      <c r="D312" s="2">
        <v>0.15763888888888888</v>
      </c>
      <c r="E312" t="str">
        <f t="shared" si="4"/>
        <v>Segment B</v>
      </c>
    </row>
    <row r="313" spans="1:5" x14ac:dyDescent="0.3">
      <c r="A313" t="s">
        <v>71</v>
      </c>
      <c r="B313" t="s">
        <v>9</v>
      </c>
      <c r="C313" s="3">
        <v>46223</v>
      </c>
      <c r="D313" s="2">
        <v>0.2048611111111111</v>
      </c>
      <c r="E313" t="str">
        <f t="shared" si="4"/>
        <v>Segment B</v>
      </c>
    </row>
    <row r="314" spans="1:5" x14ac:dyDescent="0.3">
      <c r="A314" t="s">
        <v>118</v>
      </c>
      <c r="B314" t="s">
        <v>5</v>
      </c>
      <c r="C314" s="3">
        <v>46223</v>
      </c>
      <c r="D314" s="2">
        <v>0.16388888888888889</v>
      </c>
      <c r="E314" t="str">
        <f t="shared" si="4"/>
        <v>Segment B</v>
      </c>
    </row>
    <row r="315" spans="1:5" x14ac:dyDescent="0.3">
      <c r="A315" t="s">
        <v>118</v>
      </c>
      <c r="B315" t="s">
        <v>7</v>
      </c>
      <c r="C315" s="3">
        <v>46223</v>
      </c>
      <c r="D315" s="2">
        <v>0.1701388888888889</v>
      </c>
      <c r="E315" t="str">
        <f t="shared" si="4"/>
        <v>Segment B</v>
      </c>
    </row>
    <row r="316" spans="1:5" x14ac:dyDescent="0.3">
      <c r="A316" t="s">
        <v>118</v>
      </c>
      <c r="B316" t="s">
        <v>9</v>
      </c>
      <c r="C316" s="3">
        <v>46223</v>
      </c>
      <c r="D316" s="2">
        <v>0.19166666666666668</v>
      </c>
      <c r="E316" t="str">
        <f t="shared" si="4"/>
        <v>Segment B</v>
      </c>
    </row>
    <row r="317" spans="1:5" x14ac:dyDescent="0.3">
      <c r="A317" t="s">
        <v>67</v>
      </c>
      <c r="B317" t="s">
        <v>5</v>
      </c>
      <c r="C317" s="3">
        <v>46223</v>
      </c>
      <c r="D317" s="2">
        <v>0.16875000000000001</v>
      </c>
      <c r="E317" t="str">
        <f t="shared" si="4"/>
        <v>Segment B</v>
      </c>
    </row>
    <row r="318" spans="1:5" x14ac:dyDescent="0.3">
      <c r="A318" t="s">
        <v>67</v>
      </c>
      <c r="B318" t="s">
        <v>7</v>
      </c>
      <c r="C318" s="3">
        <v>46223</v>
      </c>
      <c r="D318" s="2">
        <v>0.17291666666666666</v>
      </c>
      <c r="E318" t="str">
        <f t="shared" si="4"/>
        <v>Segment B</v>
      </c>
    </row>
    <row r="319" spans="1:5" x14ac:dyDescent="0.3">
      <c r="A319" t="s">
        <v>67</v>
      </c>
      <c r="B319" t="s">
        <v>9</v>
      </c>
      <c r="C319" s="3">
        <v>46223</v>
      </c>
      <c r="D319" s="2">
        <v>0.19305555555555556</v>
      </c>
      <c r="E319" t="str">
        <f t="shared" si="4"/>
        <v>Segment B</v>
      </c>
    </row>
    <row r="320" spans="1:5" x14ac:dyDescent="0.3">
      <c r="A320" t="s">
        <v>23</v>
      </c>
      <c r="B320" t="s">
        <v>5</v>
      </c>
      <c r="C320" s="3">
        <v>46223</v>
      </c>
      <c r="D320" s="2">
        <v>0.15763888888888888</v>
      </c>
      <c r="E320" t="str">
        <f t="shared" si="4"/>
        <v>Segment B</v>
      </c>
    </row>
    <row r="321" spans="1:5" x14ac:dyDescent="0.3">
      <c r="A321" t="s">
        <v>23</v>
      </c>
      <c r="B321" t="s">
        <v>7</v>
      </c>
      <c r="C321" s="3">
        <v>46223</v>
      </c>
      <c r="D321" s="2">
        <v>0.15833333333333333</v>
      </c>
      <c r="E321" t="str">
        <f t="shared" si="4"/>
        <v>Segment B</v>
      </c>
    </row>
    <row r="322" spans="1:5" x14ac:dyDescent="0.3">
      <c r="A322" t="s">
        <v>23</v>
      </c>
      <c r="B322" t="s">
        <v>9</v>
      </c>
      <c r="C322" s="3">
        <v>46223</v>
      </c>
      <c r="D322" s="2">
        <v>0.1986111111111111</v>
      </c>
      <c r="E322" t="str">
        <f t="shared" si="4"/>
        <v>Segment B</v>
      </c>
    </row>
    <row r="323" spans="1:5" x14ac:dyDescent="0.3">
      <c r="A323" t="s">
        <v>128</v>
      </c>
      <c r="B323" t="s">
        <v>5</v>
      </c>
      <c r="C323" s="3">
        <v>46223</v>
      </c>
      <c r="D323" s="2">
        <v>0.15486111111111112</v>
      </c>
      <c r="E323" t="str">
        <f t="shared" ref="E323:E386" si="5">IF(VALUE(RIGHT(A323,3))&lt;=100,"Segment A","Segment B")</f>
        <v>Segment B</v>
      </c>
    </row>
    <row r="324" spans="1:5" x14ac:dyDescent="0.3">
      <c r="A324" t="s">
        <v>128</v>
      </c>
      <c r="B324" t="s">
        <v>7</v>
      </c>
      <c r="C324" s="3">
        <v>46223</v>
      </c>
      <c r="D324" s="2">
        <v>0.15972222222222221</v>
      </c>
      <c r="E324" t="str">
        <f t="shared" si="5"/>
        <v>Segment B</v>
      </c>
    </row>
    <row r="325" spans="1:5" x14ac:dyDescent="0.3">
      <c r="A325" t="s">
        <v>128</v>
      </c>
      <c r="B325" t="s">
        <v>9</v>
      </c>
      <c r="C325" s="3">
        <v>46223</v>
      </c>
      <c r="D325" s="2">
        <v>0.19027777777777777</v>
      </c>
      <c r="E325" t="str">
        <f t="shared" si="5"/>
        <v>Segment B</v>
      </c>
    </row>
    <row r="326" spans="1:5" x14ac:dyDescent="0.3">
      <c r="A326" t="s">
        <v>15</v>
      </c>
      <c r="B326" t="s">
        <v>5</v>
      </c>
      <c r="C326" s="3">
        <v>46223</v>
      </c>
      <c r="D326" s="2">
        <v>0.16111111111111112</v>
      </c>
      <c r="E326" t="str">
        <f t="shared" si="5"/>
        <v>Segment B</v>
      </c>
    </row>
    <row r="327" spans="1:5" x14ac:dyDescent="0.3">
      <c r="A327" t="s">
        <v>15</v>
      </c>
      <c r="B327" t="s">
        <v>7</v>
      </c>
      <c r="C327" s="3">
        <v>46223</v>
      </c>
      <c r="D327" s="2">
        <v>0.17708333333333334</v>
      </c>
      <c r="E327" t="str">
        <f t="shared" si="5"/>
        <v>Segment B</v>
      </c>
    </row>
    <row r="328" spans="1:5" x14ac:dyDescent="0.3">
      <c r="A328" t="s">
        <v>15</v>
      </c>
      <c r="B328" t="s">
        <v>9</v>
      </c>
      <c r="C328" s="3">
        <v>46223</v>
      </c>
      <c r="D328" s="2">
        <v>0.19513888888888889</v>
      </c>
      <c r="E328" t="str">
        <f t="shared" si="5"/>
        <v>Segment B</v>
      </c>
    </row>
    <row r="329" spans="1:5" x14ac:dyDescent="0.3">
      <c r="A329" t="s">
        <v>110</v>
      </c>
      <c r="B329" t="s">
        <v>5</v>
      </c>
      <c r="C329" s="3">
        <v>46223</v>
      </c>
      <c r="D329" s="2">
        <v>0.16041666666666668</v>
      </c>
      <c r="E329" t="str">
        <f t="shared" si="5"/>
        <v>Segment B</v>
      </c>
    </row>
    <row r="330" spans="1:5" x14ac:dyDescent="0.3">
      <c r="A330" t="s">
        <v>110</v>
      </c>
      <c r="B330" t="s">
        <v>7</v>
      </c>
      <c r="C330" s="3">
        <v>46223</v>
      </c>
      <c r="D330" s="2">
        <v>0.15902777777777777</v>
      </c>
      <c r="E330" t="str">
        <f t="shared" si="5"/>
        <v>Segment B</v>
      </c>
    </row>
    <row r="331" spans="1:5" x14ac:dyDescent="0.3">
      <c r="A331" t="s">
        <v>110</v>
      </c>
      <c r="B331" t="s">
        <v>9</v>
      </c>
      <c r="C331" s="3">
        <v>46223</v>
      </c>
      <c r="D331" s="2">
        <v>0.18888888888888888</v>
      </c>
      <c r="E331" t="str">
        <f t="shared" si="5"/>
        <v>Segment B</v>
      </c>
    </row>
    <row r="332" spans="1:5" x14ac:dyDescent="0.3">
      <c r="A332" t="s">
        <v>200</v>
      </c>
      <c r="B332" t="s">
        <v>5</v>
      </c>
      <c r="C332" s="3">
        <v>46223</v>
      </c>
      <c r="D332" s="2">
        <v>0.17291666666666666</v>
      </c>
      <c r="E332" t="str">
        <f t="shared" si="5"/>
        <v>Segment B</v>
      </c>
    </row>
    <row r="333" spans="1:5" x14ac:dyDescent="0.3">
      <c r="A333" t="s">
        <v>200</v>
      </c>
      <c r="B333" t="s">
        <v>7</v>
      </c>
      <c r="C333" s="3">
        <v>46223</v>
      </c>
      <c r="D333" s="2">
        <v>0.17916666666666667</v>
      </c>
      <c r="E333" t="str">
        <f t="shared" si="5"/>
        <v>Segment B</v>
      </c>
    </row>
    <row r="334" spans="1:5" x14ac:dyDescent="0.3">
      <c r="A334" t="s">
        <v>200</v>
      </c>
      <c r="B334" t="s">
        <v>9</v>
      </c>
      <c r="C334" s="3">
        <v>46223</v>
      </c>
      <c r="D334" s="2">
        <v>0.21111111111111111</v>
      </c>
      <c r="E334" t="str">
        <f t="shared" si="5"/>
        <v>Segment B</v>
      </c>
    </row>
    <row r="335" spans="1:5" x14ac:dyDescent="0.3">
      <c r="A335" t="s">
        <v>195</v>
      </c>
      <c r="B335" t="s">
        <v>5</v>
      </c>
      <c r="C335" s="3">
        <v>46223</v>
      </c>
      <c r="D335" s="2">
        <v>0.15972222222222221</v>
      </c>
      <c r="E335" t="str">
        <f t="shared" si="5"/>
        <v>Segment B</v>
      </c>
    </row>
    <row r="336" spans="1:5" x14ac:dyDescent="0.3">
      <c r="A336" t="s">
        <v>195</v>
      </c>
      <c r="B336" t="s">
        <v>7</v>
      </c>
      <c r="C336" s="3">
        <v>46223</v>
      </c>
      <c r="D336" s="2">
        <v>0.17222222222222222</v>
      </c>
      <c r="E336" t="str">
        <f t="shared" si="5"/>
        <v>Segment B</v>
      </c>
    </row>
    <row r="337" spans="1:5" x14ac:dyDescent="0.3">
      <c r="A337" t="s">
        <v>195</v>
      </c>
      <c r="B337" t="s">
        <v>9</v>
      </c>
      <c r="C337" s="3">
        <v>46223</v>
      </c>
      <c r="D337" s="2">
        <v>0.19027777777777777</v>
      </c>
      <c r="E337" t="str">
        <f t="shared" si="5"/>
        <v>Segment B</v>
      </c>
    </row>
    <row r="338" spans="1:5" x14ac:dyDescent="0.3">
      <c r="A338" t="s">
        <v>188</v>
      </c>
      <c r="B338" t="s">
        <v>5</v>
      </c>
      <c r="C338" s="3">
        <v>46223</v>
      </c>
      <c r="D338" s="2">
        <v>0.15763888888888888</v>
      </c>
      <c r="E338" t="str">
        <f t="shared" si="5"/>
        <v>Segment B</v>
      </c>
    </row>
    <row r="339" spans="1:5" x14ac:dyDescent="0.3">
      <c r="A339" t="s">
        <v>188</v>
      </c>
      <c r="B339" t="s">
        <v>7</v>
      </c>
      <c r="C339" s="3">
        <v>46223</v>
      </c>
      <c r="D339" s="2">
        <v>0.16875000000000001</v>
      </c>
      <c r="E339" t="str">
        <f t="shared" si="5"/>
        <v>Segment B</v>
      </c>
    </row>
    <row r="340" spans="1:5" x14ac:dyDescent="0.3">
      <c r="A340" t="s">
        <v>188</v>
      </c>
      <c r="B340" t="s">
        <v>9</v>
      </c>
      <c r="C340" s="3">
        <v>46223</v>
      </c>
      <c r="D340" s="2">
        <v>0.21249999999999999</v>
      </c>
      <c r="E340" t="str">
        <f t="shared" si="5"/>
        <v>Segment B</v>
      </c>
    </row>
    <row r="341" spans="1:5" x14ac:dyDescent="0.3">
      <c r="A341" t="s">
        <v>147</v>
      </c>
      <c r="B341" t="s">
        <v>5</v>
      </c>
      <c r="C341" s="3">
        <v>46223</v>
      </c>
      <c r="D341" s="2">
        <v>0.15972222222222221</v>
      </c>
      <c r="E341" t="str">
        <f t="shared" si="5"/>
        <v>Segment B</v>
      </c>
    </row>
    <row r="342" spans="1:5" x14ac:dyDescent="0.3">
      <c r="A342" t="s">
        <v>147</v>
      </c>
      <c r="B342" t="s">
        <v>7</v>
      </c>
      <c r="C342" s="3">
        <v>46223</v>
      </c>
      <c r="D342" s="2">
        <v>0.17430555555555555</v>
      </c>
      <c r="E342" t="str">
        <f t="shared" si="5"/>
        <v>Segment B</v>
      </c>
    </row>
    <row r="343" spans="1:5" x14ac:dyDescent="0.3">
      <c r="A343" t="s">
        <v>147</v>
      </c>
      <c r="B343" t="s">
        <v>9</v>
      </c>
      <c r="C343" s="3">
        <v>46223</v>
      </c>
      <c r="D343" s="2">
        <v>0.20972222222222223</v>
      </c>
      <c r="E343" t="str">
        <f t="shared" si="5"/>
        <v>Segment B</v>
      </c>
    </row>
    <row r="344" spans="1:5" x14ac:dyDescent="0.3">
      <c r="A344" t="s">
        <v>120</v>
      </c>
      <c r="B344" t="s">
        <v>5</v>
      </c>
      <c r="C344" s="3">
        <v>46223</v>
      </c>
      <c r="D344" s="2">
        <v>0.16875000000000001</v>
      </c>
      <c r="E344" t="str">
        <f t="shared" si="5"/>
        <v>Segment B</v>
      </c>
    </row>
    <row r="345" spans="1:5" x14ac:dyDescent="0.3">
      <c r="A345" t="s">
        <v>120</v>
      </c>
      <c r="B345" t="s">
        <v>7</v>
      </c>
      <c r="C345" s="3">
        <v>46223</v>
      </c>
      <c r="D345" s="2">
        <v>0.15833333333333333</v>
      </c>
      <c r="E345" t="str">
        <f t="shared" si="5"/>
        <v>Segment B</v>
      </c>
    </row>
    <row r="346" spans="1:5" x14ac:dyDescent="0.3">
      <c r="A346" t="s">
        <v>120</v>
      </c>
      <c r="B346" t="s">
        <v>9</v>
      </c>
      <c r="C346" s="3">
        <v>46223</v>
      </c>
      <c r="D346" s="2">
        <v>0.2076388888888889</v>
      </c>
      <c r="E346" t="str">
        <f t="shared" si="5"/>
        <v>Segment B</v>
      </c>
    </row>
    <row r="347" spans="1:5" x14ac:dyDescent="0.3">
      <c r="A347" t="s">
        <v>105</v>
      </c>
      <c r="B347" t="s">
        <v>5</v>
      </c>
      <c r="C347" s="3">
        <v>46223</v>
      </c>
      <c r="D347" s="2">
        <v>0.15069444444444444</v>
      </c>
      <c r="E347" t="str">
        <f t="shared" si="5"/>
        <v>Segment B</v>
      </c>
    </row>
    <row r="348" spans="1:5" x14ac:dyDescent="0.3">
      <c r="A348" t="s">
        <v>105</v>
      </c>
      <c r="B348" t="s">
        <v>7</v>
      </c>
      <c r="C348" s="3">
        <v>46223</v>
      </c>
      <c r="D348" s="2">
        <v>0.18263888888888888</v>
      </c>
      <c r="E348" t="str">
        <f t="shared" si="5"/>
        <v>Segment B</v>
      </c>
    </row>
    <row r="349" spans="1:5" x14ac:dyDescent="0.3">
      <c r="A349" t="s">
        <v>105</v>
      </c>
      <c r="B349" t="s">
        <v>9</v>
      </c>
      <c r="C349" s="3">
        <v>46223</v>
      </c>
      <c r="D349" s="2">
        <v>0.2048611111111111</v>
      </c>
      <c r="E349" t="str">
        <f t="shared" si="5"/>
        <v>Segment B</v>
      </c>
    </row>
    <row r="350" spans="1:5" x14ac:dyDescent="0.3">
      <c r="A350" t="s">
        <v>186</v>
      </c>
      <c r="B350" t="s">
        <v>5</v>
      </c>
      <c r="C350" s="3">
        <v>46223</v>
      </c>
      <c r="D350" s="2">
        <v>0.15416666666666667</v>
      </c>
      <c r="E350" t="str">
        <f t="shared" si="5"/>
        <v>Segment B</v>
      </c>
    </row>
    <row r="351" spans="1:5" x14ac:dyDescent="0.3">
      <c r="A351" t="s">
        <v>186</v>
      </c>
      <c r="B351" t="s">
        <v>7</v>
      </c>
      <c r="C351" s="3">
        <v>46223</v>
      </c>
      <c r="D351" s="2">
        <v>0.1673611111111111</v>
      </c>
      <c r="E351" t="str">
        <f t="shared" si="5"/>
        <v>Segment B</v>
      </c>
    </row>
    <row r="352" spans="1:5" x14ac:dyDescent="0.3">
      <c r="A352" t="s">
        <v>186</v>
      </c>
      <c r="B352" t="s">
        <v>9</v>
      </c>
      <c r="C352" s="3">
        <v>46223</v>
      </c>
      <c r="D352" s="2">
        <v>0.19305555555555556</v>
      </c>
      <c r="E352" t="str">
        <f t="shared" si="5"/>
        <v>Segment B</v>
      </c>
    </row>
    <row r="353" spans="1:5" x14ac:dyDescent="0.3">
      <c r="A353" t="s">
        <v>129</v>
      </c>
      <c r="B353" t="s">
        <v>5</v>
      </c>
      <c r="C353" s="3">
        <v>46223</v>
      </c>
      <c r="D353" s="2">
        <v>0.15694444444444444</v>
      </c>
      <c r="E353" t="str">
        <f t="shared" si="5"/>
        <v>Segment B</v>
      </c>
    </row>
    <row r="354" spans="1:5" x14ac:dyDescent="0.3">
      <c r="A354" t="s">
        <v>129</v>
      </c>
      <c r="B354" t="s">
        <v>7</v>
      </c>
      <c r="C354" s="3">
        <v>46223</v>
      </c>
      <c r="D354" s="2">
        <v>0.16180555555555556</v>
      </c>
      <c r="E354" t="str">
        <f t="shared" si="5"/>
        <v>Segment B</v>
      </c>
    </row>
    <row r="355" spans="1:5" x14ac:dyDescent="0.3">
      <c r="A355" t="s">
        <v>129</v>
      </c>
      <c r="B355" t="s">
        <v>9</v>
      </c>
      <c r="C355" s="3">
        <v>46223</v>
      </c>
      <c r="D355" s="2">
        <v>0.20694444444444443</v>
      </c>
      <c r="E355" t="str">
        <f t="shared" si="5"/>
        <v>Segment B</v>
      </c>
    </row>
    <row r="356" spans="1:5" x14ac:dyDescent="0.3">
      <c r="A356" t="s">
        <v>126</v>
      </c>
      <c r="B356" t="s">
        <v>5</v>
      </c>
      <c r="C356" s="3">
        <v>46223</v>
      </c>
      <c r="D356" s="2">
        <v>0.17152777777777778</v>
      </c>
      <c r="E356" t="str">
        <f t="shared" si="5"/>
        <v>Segment B</v>
      </c>
    </row>
    <row r="357" spans="1:5" x14ac:dyDescent="0.3">
      <c r="A357" t="s">
        <v>126</v>
      </c>
      <c r="B357" t="s">
        <v>7</v>
      </c>
      <c r="C357" s="3">
        <v>46223</v>
      </c>
      <c r="D357" s="2">
        <v>0.17430555555555555</v>
      </c>
      <c r="E357" t="str">
        <f t="shared" si="5"/>
        <v>Segment B</v>
      </c>
    </row>
    <row r="358" spans="1:5" x14ac:dyDescent="0.3">
      <c r="A358" t="s">
        <v>126</v>
      </c>
      <c r="B358" t="s">
        <v>9</v>
      </c>
      <c r="C358" s="3">
        <v>46223</v>
      </c>
      <c r="D358" s="2">
        <v>0.19166666666666668</v>
      </c>
      <c r="E358" t="str">
        <f t="shared" si="5"/>
        <v>Segment B</v>
      </c>
    </row>
    <row r="359" spans="1:5" x14ac:dyDescent="0.3">
      <c r="A359" t="s">
        <v>119</v>
      </c>
      <c r="B359" t="s">
        <v>5</v>
      </c>
      <c r="C359" s="3">
        <v>46223</v>
      </c>
      <c r="D359" s="2">
        <v>0.15833333333333333</v>
      </c>
      <c r="E359" t="str">
        <f t="shared" si="5"/>
        <v>Segment B</v>
      </c>
    </row>
    <row r="360" spans="1:5" x14ac:dyDescent="0.3">
      <c r="A360" t="s">
        <v>119</v>
      </c>
      <c r="B360" t="s">
        <v>7</v>
      </c>
      <c r="C360" s="3">
        <v>46223</v>
      </c>
      <c r="D360" s="2">
        <v>0.17291666666666666</v>
      </c>
      <c r="E360" t="str">
        <f t="shared" si="5"/>
        <v>Segment B</v>
      </c>
    </row>
    <row r="361" spans="1:5" x14ac:dyDescent="0.3">
      <c r="A361" t="s">
        <v>119</v>
      </c>
      <c r="B361" t="s">
        <v>9</v>
      </c>
      <c r="C361" s="3">
        <v>46223</v>
      </c>
      <c r="D361" s="2">
        <v>0.19444444444444445</v>
      </c>
      <c r="E361" t="str">
        <f t="shared" si="5"/>
        <v>Segment B</v>
      </c>
    </row>
    <row r="362" spans="1:5" x14ac:dyDescent="0.3">
      <c r="A362" t="s">
        <v>116</v>
      </c>
      <c r="B362" t="s">
        <v>5</v>
      </c>
      <c r="C362" s="3">
        <v>46223</v>
      </c>
      <c r="D362" s="2">
        <v>0.1673611111111111</v>
      </c>
      <c r="E362" t="str">
        <f t="shared" si="5"/>
        <v>Segment B</v>
      </c>
    </row>
    <row r="363" spans="1:5" x14ac:dyDescent="0.3">
      <c r="A363" t="s">
        <v>116</v>
      </c>
      <c r="B363" t="s">
        <v>7</v>
      </c>
      <c r="C363" s="3">
        <v>46223</v>
      </c>
      <c r="D363" s="2">
        <v>0.17916666666666667</v>
      </c>
      <c r="E363" t="str">
        <f t="shared" si="5"/>
        <v>Segment B</v>
      </c>
    </row>
    <row r="364" spans="1:5" x14ac:dyDescent="0.3">
      <c r="A364" t="s">
        <v>116</v>
      </c>
      <c r="B364" t="s">
        <v>9</v>
      </c>
      <c r="C364" s="3">
        <v>46223</v>
      </c>
      <c r="D364" s="2">
        <v>0.19652777777777777</v>
      </c>
      <c r="E364" t="str">
        <f t="shared" si="5"/>
        <v>Segment B</v>
      </c>
    </row>
    <row r="365" spans="1:5" x14ac:dyDescent="0.3">
      <c r="A365" t="s">
        <v>84</v>
      </c>
      <c r="B365" t="s">
        <v>5</v>
      </c>
      <c r="C365" s="3">
        <v>46223</v>
      </c>
      <c r="D365" s="2">
        <v>0.16250000000000001</v>
      </c>
      <c r="E365" t="str">
        <f t="shared" si="5"/>
        <v>Segment B</v>
      </c>
    </row>
    <row r="366" spans="1:5" x14ac:dyDescent="0.3">
      <c r="A366" t="s">
        <v>84</v>
      </c>
      <c r="B366" t="s">
        <v>7</v>
      </c>
      <c r="C366" s="3">
        <v>46223</v>
      </c>
      <c r="D366" s="2">
        <v>0.16666666666666666</v>
      </c>
      <c r="E366" t="str">
        <f t="shared" si="5"/>
        <v>Segment B</v>
      </c>
    </row>
    <row r="367" spans="1:5" x14ac:dyDescent="0.3">
      <c r="A367" t="s">
        <v>84</v>
      </c>
      <c r="B367" t="s">
        <v>9</v>
      </c>
      <c r="C367" s="3">
        <v>46223</v>
      </c>
      <c r="D367" s="2">
        <v>0.19513888888888889</v>
      </c>
      <c r="E367" t="str">
        <f t="shared" si="5"/>
        <v>Segment B</v>
      </c>
    </row>
    <row r="368" spans="1:5" x14ac:dyDescent="0.3">
      <c r="A368" t="s">
        <v>143</v>
      </c>
      <c r="B368" t="s">
        <v>5</v>
      </c>
      <c r="C368" s="3">
        <v>46223</v>
      </c>
      <c r="D368" s="2">
        <v>0.16041666666666668</v>
      </c>
      <c r="E368" t="str">
        <f t="shared" si="5"/>
        <v>Segment B</v>
      </c>
    </row>
    <row r="369" spans="1:5" x14ac:dyDescent="0.3">
      <c r="A369" t="s">
        <v>143</v>
      </c>
      <c r="B369" t="s">
        <v>7</v>
      </c>
      <c r="C369" s="3">
        <v>46223</v>
      </c>
      <c r="D369" s="2">
        <v>0.15972222222222221</v>
      </c>
      <c r="E369" t="str">
        <f t="shared" si="5"/>
        <v>Segment B</v>
      </c>
    </row>
    <row r="370" spans="1:5" x14ac:dyDescent="0.3">
      <c r="A370" t="s">
        <v>143</v>
      </c>
      <c r="B370" t="s">
        <v>9</v>
      </c>
      <c r="C370" s="3">
        <v>46223</v>
      </c>
      <c r="D370" s="2">
        <v>0.21458333333333332</v>
      </c>
      <c r="E370" t="str">
        <f t="shared" si="5"/>
        <v>Segment B</v>
      </c>
    </row>
    <row r="371" spans="1:5" x14ac:dyDescent="0.3">
      <c r="A371" t="s">
        <v>191</v>
      </c>
      <c r="B371" t="s">
        <v>5</v>
      </c>
      <c r="C371" s="3">
        <v>46223</v>
      </c>
      <c r="D371" s="2">
        <v>0.15069444444444444</v>
      </c>
      <c r="E371" t="str">
        <f t="shared" si="5"/>
        <v>Segment B</v>
      </c>
    </row>
    <row r="372" spans="1:5" x14ac:dyDescent="0.3">
      <c r="A372" t="s">
        <v>191</v>
      </c>
      <c r="B372" t="s">
        <v>7</v>
      </c>
      <c r="C372" s="3">
        <v>46223</v>
      </c>
      <c r="D372" s="2">
        <v>0.15902777777777777</v>
      </c>
      <c r="E372" t="str">
        <f t="shared" si="5"/>
        <v>Segment B</v>
      </c>
    </row>
    <row r="373" spans="1:5" x14ac:dyDescent="0.3">
      <c r="A373" t="s">
        <v>191</v>
      </c>
      <c r="B373" t="s">
        <v>9</v>
      </c>
      <c r="C373" s="3">
        <v>46223</v>
      </c>
      <c r="D373" s="2">
        <v>0.20069444444444445</v>
      </c>
      <c r="E373" t="str">
        <f t="shared" si="5"/>
        <v>Segment B</v>
      </c>
    </row>
    <row r="374" spans="1:5" x14ac:dyDescent="0.3">
      <c r="A374" t="s">
        <v>63</v>
      </c>
      <c r="B374" t="s">
        <v>5</v>
      </c>
      <c r="C374" s="3">
        <v>46223</v>
      </c>
      <c r="D374" s="2">
        <v>0.15208333333333332</v>
      </c>
      <c r="E374" t="str">
        <f t="shared" si="5"/>
        <v>Segment B</v>
      </c>
    </row>
    <row r="375" spans="1:5" x14ac:dyDescent="0.3">
      <c r="A375" t="s">
        <v>63</v>
      </c>
      <c r="B375" t="s">
        <v>7</v>
      </c>
      <c r="C375" s="3">
        <v>46223</v>
      </c>
      <c r="D375" s="2">
        <v>0.15694444444444444</v>
      </c>
      <c r="E375" t="str">
        <f t="shared" si="5"/>
        <v>Segment B</v>
      </c>
    </row>
    <row r="376" spans="1:5" x14ac:dyDescent="0.3">
      <c r="A376" t="s">
        <v>63</v>
      </c>
      <c r="B376" t="s">
        <v>9</v>
      </c>
      <c r="C376" s="3">
        <v>46223</v>
      </c>
      <c r="D376" s="2">
        <v>0.19305555555555556</v>
      </c>
      <c r="E376" t="str">
        <f t="shared" si="5"/>
        <v>Segment B</v>
      </c>
    </row>
    <row r="377" spans="1:5" x14ac:dyDescent="0.3">
      <c r="A377" t="s">
        <v>43</v>
      </c>
      <c r="B377" t="s">
        <v>5</v>
      </c>
      <c r="C377" s="3">
        <v>46223</v>
      </c>
      <c r="D377" s="2">
        <v>0.15</v>
      </c>
      <c r="E377" t="str">
        <f t="shared" si="5"/>
        <v>Segment B</v>
      </c>
    </row>
    <row r="378" spans="1:5" x14ac:dyDescent="0.3">
      <c r="A378" t="s">
        <v>43</v>
      </c>
      <c r="B378" t="s">
        <v>7</v>
      </c>
      <c r="C378" s="3">
        <v>46223</v>
      </c>
      <c r="D378" s="2">
        <v>0.17152777777777778</v>
      </c>
      <c r="E378" t="str">
        <f t="shared" si="5"/>
        <v>Segment B</v>
      </c>
    </row>
    <row r="379" spans="1:5" x14ac:dyDescent="0.3">
      <c r="A379" t="s">
        <v>43</v>
      </c>
      <c r="B379" t="s">
        <v>9</v>
      </c>
      <c r="C379" s="3">
        <v>46223</v>
      </c>
      <c r="D379" s="2">
        <v>0.20972222222222223</v>
      </c>
      <c r="E379" t="str">
        <f t="shared" si="5"/>
        <v>Segment B</v>
      </c>
    </row>
    <row r="380" spans="1:5" x14ac:dyDescent="0.3">
      <c r="A380" t="s">
        <v>152</v>
      </c>
      <c r="B380" t="s">
        <v>5</v>
      </c>
      <c r="C380" s="3">
        <v>46223</v>
      </c>
      <c r="D380" s="2">
        <v>0.15972222222222221</v>
      </c>
      <c r="E380" t="str">
        <f t="shared" si="5"/>
        <v>Segment B</v>
      </c>
    </row>
    <row r="381" spans="1:5" x14ac:dyDescent="0.3">
      <c r="A381" t="s">
        <v>152</v>
      </c>
      <c r="B381" t="s">
        <v>7</v>
      </c>
      <c r="C381" s="3">
        <v>46223</v>
      </c>
      <c r="D381" s="2">
        <v>0.16250000000000001</v>
      </c>
      <c r="E381" t="str">
        <f t="shared" si="5"/>
        <v>Segment B</v>
      </c>
    </row>
    <row r="382" spans="1:5" x14ac:dyDescent="0.3">
      <c r="A382" t="s">
        <v>152</v>
      </c>
      <c r="B382" t="s">
        <v>9</v>
      </c>
      <c r="C382" s="3">
        <v>46223</v>
      </c>
      <c r="D382" s="2">
        <v>0.19027777777777777</v>
      </c>
      <c r="E382" t="str">
        <f t="shared" si="5"/>
        <v>Segment B</v>
      </c>
    </row>
    <row r="383" spans="1:5" x14ac:dyDescent="0.3">
      <c r="A383" t="s">
        <v>113</v>
      </c>
      <c r="B383" t="s">
        <v>5</v>
      </c>
      <c r="C383" s="3">
        <v>46223</v>
      </c>
      <c r="D383" s="2">
        <v>0.16805555555555557</v>
      </c>
      <c r="E383" t="str">
        <f t="shared" si="5"/>
        <v>Segment B</v>
      </c>
    </row>
    <row r="384" spans="1:5" x14ac:dyDescent="0.3">
      <c r="A384" t="s">
        <v>113</v>
      </c>
      <c r="B384" t="s">
        <v>7</v>
      </c>
      <c r="C384" s="3">
        <v>46223</v>
      </c>
      <c r="D384" s="2">
        <v>0.17291666666666666</v>
      </c>
      <c r="E384" t="str">
        <f t="shared" si="5"/>
        <v>Segment B</v>
      </c>
    </row>
    <row r="385" spans="1:5" x14ac:dyDescent="0.3">
      <c r="A385" t="s">
        <v>113</v>
      </c>
      <c r="B385" t="s">
        <v>9</v>
      </c>
      <c r="C385" s="3">
        <v>46223</v>
      </c>
      <c r="D385" s="2">
        <v>0.21111111111111111</v>
      </c>
      <c r="E385" t="str">
        <f t="shared" si="5"/>
        <v>Segment B</v>
      </c>
    </row>
    <row r="386" spans="1:5" x14ac:dyDescent="0.3">
      <c r="A386" t="s">
        <v>145</v>
      </c>
      <c r="B386" t="s">
        <v>5</v>
      </c>
      <c r="C386" s="3">
        <v>46223</v>
      </c>
      <c r="D386" s="2">
        <v>0.16111111111111112</v>
      </c>
      <c r="E386" t="str">
        <f t="shared" si="5"/>
        <v>Segment B</v>
      </c>
    </row>
    <row r="387" spans="1:5" x14ac:dyDescent="0.3">
      <c r="A387" t="s">
        <v>145</v>
      </c>
      <c r="B387" t="s">
        <v>7</v>
      </c>
      <c r="C387" s="3">
        <v>46223</v>
      </c>
      <c r="D387" s="2">
        <v>0.16041666666666668</v>
      </c>
      <c r="E387" t="str">
        <f t="shared" ref="E387:E450" si="6">IF(VALUE(RIGHT(A387,3))&lt;=100,"Segment A","Segment B")</f>
        <v>Segment B</v>
      </c>
    </row>
    <row r="388" spans="1:5" x14ac:dyDescent="0.3">
      <c r="A388" t="s">
        <v>145</v>
      </c>
      <c r="B388" t="s">
        <v>9</v>
      </c>
      <c r="C388" s="3">
        <v>46223</v>
      </c>
      <c r="D388" s="2">
        <v>0.2</v>
      </c>
      <c r="E388" t="str">
        <f t="shared" si="6"/>
        <v>Segment B</v>
      </c>
    </row>
    <row r="389" spans="1:5" x14ac:dyDescent="0.3">
      <c r="A389" t="s">
        <v>192</v>
      </c>
      <c r="B389" t="s">
        <v>5</v>
      </c>
      <c r="C389" s="3">
        <v>46223</v>
      </c>
      <c r="D389" s="2">
        <v>0.15694444444444444</v>
      </c>
      <c r="E389" t="str">
        <f t="shared" si="6"/>
        <v>Segment B</v>
      </c>
    </row>
    <row r="390" spans="1:5" x14ac:dyDescent="0.3">
      <c r="A390" t="s">
        <v>192</v>
      </c>
      <c r="B390" t="s">
        <v>7</v>
      </c>
      <c r="C390" s="3">
        <v>46223</v>
      </c>
      <c r="D390" s="2">
        <v>0.16597222222222222</v>
      </c>
      <c r="E390" t="str">
        <f t="shared" si="6"/>
        <v>Segment B</v>
      </c>
    </row>
    <row r="391" spans="1:5" x14ac:dyDescent="0.3">
      <c r="A391" t="s">
        <v>192</v>
      </c>
      <c r="B391" t="s">
        <v>9</v>
      </c>
      <c r="C391" s="3">
        <v>46223</v>
      </c>
      <c r="D391" s="2">
        <v>0.19652777777777777</v>
      </c>
      <c r="E391" t="str">
        <f t="shared" si="6"/>
        <v>Segment B</v>
      </c>
    </row>
    <row r="392" spans="1:5" x14ac:dyDescent="0.3">
      <c r="A392" t="s">
        <v>35</v>
      </c>
      <c r="B392" t="s">
        <v>5</v>
      </c>
      <c r="C392" s="3">
        <v>46223</v>
      </c>
      <c r="D392" s="2">
        <v>0.17083333333333334</v>
      </c>
      <c r="E392" t="str">
        <f t="shared" si="6"/>
        <v>Segment B</v>
      </c>
    </row>
    <row r="393" spans="1:5" x14ac:dyDescent="0.3">
      <c r="A393" t="s">
        <v>35</v>
      </c>
      <c r="B393" t="s">
        <v>7</v>
      </c>
      <c r="C393" s="3">
        <v>46223</v>
      </c>
      <c r="D393" s="2">
        <v>0.16875000000000001</v>
      </c>
      <c r="E393" t="str">
        <f t="shared" si="6"/>
        <v>Segment B</v>
      </c>
    </row>
    <row r="394" spans="1:5" x14ac:dyDescent="0.3">
      <c r="A394" t="s">
        <v>35</v>
      </c>
      <c r="B394" t="s">
        <v>9</v>
      </c>
      <c r="C394" s="3">
        <v>46223</v>
      </c>
      <c r="D394" s="2">
        <v>0.20555555555555555</v>
      </c>
      <c r="E394" t="str">
        <f t="shared" si="6"/>
        <v>Segment B</v>
      </c>
    </row>
    <row r="395" spans="1:5" x14ac:dyDescent="0.3">
      <c r="A395" t="s">
        <v>39</v>
      </c>
      <c r="B395" t="s">
        <v>5</v>
      </c>
      <c r="C395" s="3">
        <v>46223</v>
      </c>
      <c r="D395" s="2">
        <v>0.15902777777777777</v>
      </c>
      <c r="E395" t="str">
        <f t="shared" si="6"/>
        <v>Segment B</v>
      </c>
    </row>
    <row r="396" spans="1:5" x14ac:dyDescent="0.3">
      <c r="A396" t="s">
        <v>39</v>
      </c>
      <c r="B396" t="s">
        <v>7</v>
      </c>
      <c r="C396" s="3">
        <v>46223</v>
      </c>
      <c r="D396" s="2">
        <v>0.1736111111111111</v>
      </c>
      <c r="E396" t="str">
        <f t="shared" si="6"/>
        <v>Segment B</v>
      </c>
    </row>
    <row r="397" spans="1:5" x14ac:dyDescent="0.3">
      <c r="A397" t="s">
        <v>39</v>
      </c>
      <c r="B397" t="s">
        <v>9</v>
      </c>
      <c r="C397" s="3">
        <v>46223</v>
      </c>
      <c r="D397" s="2">
        <v>0.18958333333333333</v>
      </c>
      <c r="E397" t="str">
        <f t="shared" si="6"/>
        <v>Segment B</v>
      </c>
    </row>
    <row r="398" spans="1:5" x14ac:dyDescent="0.3">
      <c r="A398" t="s">
        <v>125</v>
      </c>
      <c r="B398" t="s">
        <v>5</v>
      </c>
      <c r="C398" s="3">
        <v>46223</v>
      </c>
      <c r="D398" s="2">
        <v>0.15972222222222221</v>
      </c>
      <c r="E398" t="str">
        <f t="shared" si="6"/>
        <v>Segment B</v>
      </c>
    </row>
    <row r="399" spans="1:5" x14ac:dyDescent="0.3">
      <c r="A399" t="s">
        <v>125</v>
      </c>
      <c r="B399" t="s">
        <v>7</v>
      </c>
      <c r="C399" s="3">
        <v>46223</v>
      </c>
      <c r="D399" s="2">
        <v>0.15833333333333333</v>
      </c>
      <c r="E399" t="str">
        <f t="shared" si="6"/>
        <v>Segment B</v>
      </c>
    </row>
    <row r="400" spans="1:5" x14ac:dyDescent="0.3">
      <c r="A400" t="s">
        <v>125</v>
      </c>
      <c r="B400" t="s">
        <v>9</v>
      </c>
      <c r="C400" s="3">
        <v>46223</v>
      </c>
      <c r="D400" s="2">
        <v>0.19513888888888889</v>
      </c>
      <c r="E400" t="str">
        <f t="shared" si="6"/>
        <v>Segment B</v>
      </c>
    </row>
    <row r="401" spans="1:5" x14ac:dyDescent="0.3">
      <c r="A401" t="s">
        <v>141</v>
      </c>
      <c r="B401" t="s">
        <v>5</v>
      </c>
      <c r="C401" s="3">
        <v>46223</v>
      </c>
      <c r="D401" s="2">
        <v>0.15694444444444444</v>
      </c>
      <c r="E401" t="str">
        <f t="shared" si="6"/>
        <v>Segment B</v>
      </c>
    </row>
    <row r="402" spans="1:5" x14ac:dyDescent="0.3">
      <c r="A402" t="s">
        <v>141</v>
      </c>
      <c r="B402" t="s">
        <v>7</v>
      </c>
      <c r="C402" s="3">
        <v>46223</v>
      </c>
      <c r="D402" s="2">
        <v>0.16319444444444445</v>
      </c>
      <c r="E402" t="str">
        <f t="shared" si="6"/>
        <v>Segment B</v>
      </c>
    </row>
    <row r="403" spans="1:5" x14ac:dyDescent="0.3">
      <c r="A403" t="s">
        <v>141</v>
      </c>
      <c r="B403" t="s">
        <v>9</v>
      </c>
      <c r="C403" s="3">
        <v>46223</v>
      </c>
      <c r="D403" s="2">
        <v>0.19027777777777777</v>
      </c>
      <c r="E403" t="str">
        <f t="shared" si="6"/>
        <v>Segment B</v>
      </c>
    </row>
    <row r="404" spans="1:5" x14ac:dyDescent="0.3">
      <c r="A404" t="s">
        <v>175</v>
      </c>
      <c r="B404" t="s">
        <v>5</v>
      </c>
      <c r="C404" s="3">
        <v>46223</v>
      </c>
      <c r="D404" s="2">
        <v>0.16944444444444445</v>
      </c>
      <c r="E404" t="str">
        <f t="shared" si="6"/>
        <v>Segment B</v>
      </c>
    </row>
    <row r="405" spans="1:5" x14ac:dyDescent="0.3">
      <c r="A405" t="s">
        <v>175</v>
      </c>
      <c r="B405" t="s">
        <v>7</v>
      </c>
      <c r="C405" s="3">
        <v>46223</v>
      </c>
      <c r="D405" s="2">
        <v>0.15833333333333333</v>
      </c>
      <c r="E405" t="str">
        <f t="shared" si="6"/>
        <v>Segment B</v>
      </c>
    </row>
    <row r="406" spans="1:5" x14ac:dyDescent="0.3">
      <c r="A406" t="s">
        <v>175</v>
      </c>
      <c r="B406" t="s">
        <v>9</v>
      </c>
      <c r="C406" s="3">
        <v>46223</v>
      </c>
      <c r="D406" s="2">
        <v>0.19513888888888889</v>
      </c>
      <c r="E406" t="str">
        <f t="shared" si="6"/>
        <v>Segment B</v>
      </c>
    </row>
    <row r="407" spans="1:5" x14ac:dyDescent="0.3">
      <c r="A407" t="s">
        <v>26</v>
      </c>
      <c r="B407" t="s">
        <v>5</v>
      </c>
      <c r="C407" s="3">
        <v>46223</v>
      </c>
      <c r="D407" s="2">
        <v>0.16597222222222222</v>
      </c>
      <c r="E407" t="str">
        <f t="shared" si="6"/>
        <v>Segment B</v>
      </c>
    </row>
    <row r="408" spans="1:5" x14ac:dyDescent="0.3">
      <c r="A408" t="s">
        <v>26</v>
      </c>
      <c r="B408" t="s">
        <v>7</v>
      </c>
      <c r="C408" s="3">
        <v>46223</v>
      </c>
      <c r="D408" s="2">
        <v>0.17708333333333334</v>
      </c>
      <c r="E408" t="str">
        <f t="shared" si="6"/>
        <v>Segment B</v>
      </c>
    </row>
    <row r="409" spans="1:5" x14ac:dyDescent="0.3">
      <c r="A409" t="s">
        <v>26</v>
      </c>
      <c r="B409" t="s">
        <v>9</v>
      </c>
      <c r="C409" s="3">
        <v>46223</v>
      </c>
      <c r="D409" s="2">
        <v>0.19583333333333333</v>
      </c>
      <c r="E409" t="str">
        <f t="shared" si="6"/>
        <v>Segment B</v>
      </c>
    </row>
    <row r="410" spans="1:5" x14ac:dyDescent="0.3">
      <c r="A410" t="s">
        <v>32</v>
      </c>
      <c r="B410" t="s">
        <v>5</v>
      </c>
      <c r="C410" s="3">
        <v>46223</v>
      </c>
      <c r="D410" s="2">
        <v>0.16527777777777777</v>
      </c>
      <c r="E410" t="str">
        <f t="shared" si="6"/>
        <v>Segment B</v>
      </c>
    </row>
    <row r="411" spans="1:5" x14ac:dyDescent="0.3">
      <c r="A411" t="s">
        <v>32</v>
      </c>
      <c r="B411" t="s">
        <v>7</v>
      </c>
      <c r="C411" s="3">
        <v>46223</v>
      </c>
      <c r="D411" s="2">
        <v>0.16875000000000001</v>
      </c>
      <c r="E411" t="str">
        <f t="shared" si="6"/>
        <v>Segment B</v>
      </c>
    </row>
    <row r="412" spans="1:5" x14ac:dyDescent="0.3">
      <c r="A412" t="s">
        <v>32</v>
      </c>
      <c r="B412" t="s">
        <v>9</v>
      </c>
      <c r="C412" s="3">
        <v>46223</v>
      </c>
      <c r="D412" s="2">
        <v>0.18888888888888888</v>
      </c>
      <c r="E412" t="str">
        <f t="shared" si="6"/>
        <v>Segment B</v>
      </c>
    </row>
    <row r="413" spans="1:5" x14ac:dyDescent="0.3">
      <c r="A413" t="s">
        <v>75</v>
      </c>
      <c r="B413" t="s">
        <v>5</v>
      </c>
      <c r="C413" s="3">
        <v>46223</v>
      </c>
      <c r="D413" s="2">
        <v>0.16666666666666666</v>
      </c>
      <c r="E413" t="str">
        <f t="shared" si="6"/>
        <v>Segment B</v>
      </c>
    </row>
    <row r="414" spans="1:5" x14ac:dyDescent="0.3">
      <c r="A414" t="s">
        <v>75</v>
      </c>
      <c r="B414" t="s">
        <v>7</v>
      </c>
      <c r="C414" s="3">
        <v>46223</v>
      </c>
      <c r="D414" s="2">
        <v>0.17916666666666667</v>
      </c>
      <c r="E414" t="str">
        <f t="shared" si="6"/>
        <v>Segment B</v>
      </c>
    </row>
    <row r="415" spans="1:5" x14ac:dyDescent="0.3">
      <c r="A415" t="s">
        <v>75</v>
      </c>
      <c r="B415" t="s">
        <v>9</v>
      </c>
      <c r="C415" s="3">
        <v>46223</v>
      </c>
      <c r="D415" s="2">
        <v>0.19305555555555556</v>
      </c>
      <c r="E415" t="str">
        <f t="shared" si="6"/>
        <v>Segment B</v>
      </c>
    </row>
    <row r="416" spans="1:5" x14ac:dyDescent="0.3">
      <c r="A416" t="s">
        <v>100</v>
      </c>
      <c r="B416" t="s">
        <v>5</v>
      </c>
      <c r="C416" s="3">
        <v>46223</v>
      </c>
      <c r="D416" s="2">
        <v>0.15555555555555556</v>
      </c>
      <c r="E416" t="str">
        <f t="shared" si="6"/>
        <v>Segment B</v>
      </c>
    </row>
    <row r="417" spans="1:5" x14ac:dyDescent="0.3">
      <c r="A417" t="s">
        <v>100</v>
      </c>
      <c r="B417" t="s">
        <v>7</v>
      </c>
      <c r="C417" s="3">
        <v>46223</v>
      </c>
      <c r="D417" s="2">
        <v>0.16944444444444445</v>
      </c>
      <c r="E417" t="str">
        <f t="shared" si="6"/>
        <v>Segment B</v>
      </c>
    </row>
    <row r="418" spans="1:5" x14ac:dyDescent="0.3">
      <c r="A418" t="s">
        <v>100</v>
      </c>
      <c r="B418" t="s">
        <v>9</v>
      </c>
      <c r="C418" s="3">
        <v>46223</v>
      </c>
      <c r="D418" s="2">
        <v>0.20416666666666666</v>
      </c>
      <c r="E418" t="str">
        <f t="shared" si="6"/>
        <v>Segment B</v>
      </c>
    </row>
    <row r="419" spans="1:5" x14ac:dyDescent="0.3">
      <c r="A419" t="s">
        <v>164</v>
      </c>
      <c r="B419" t="s">
        <v>5</v>
      </c>
      <c r="C419" s="3">
        <v>46223</v>
      </c>
      <c r="D419" s="2">
        <v>0.15902777777777777</v>
      </c>
      <c r="E419" t="str">
        <f t="shared" si="6"/>
        <v>Segment B</v>
      </c>
    </row>
    <row r="420" spans="1:5" x14ac:dyDescent="0.3">
      <c r="A420" t="s">
        <v>164</v>
      </c>
      <c r="B420" t="s">
        <v>7</v>
      </c>
      <c r="C420" s="3">
        <v>46223</v>
      </c>
      <c r="D420" s="2">
        <v>0.17708333333333334</v>
      </c>
      <c r="E420" t="str">
        <f t="shared" si="6"/>
        <v>Segment B</v>
      </c>
    </row>
    <row r="421" spans="1:5" x14ac:dyDescent="0.3">
      <c r="A421" t="s">
        <v>164</v>
      </c>
      <c r="B421" t="s">
        <v>9</v>
      </c>
      <c r="C421" s="3">
        <v>46223</v>
      </c>
      <c r="D421" s="2">
        <v>0.18888888888888888</v>
      </c>
      <c r="E421" t="str">
        <f t="shared" si="6"/>
        <v>Segment B</v>
      </c>
    </row>
    <row r="422" spans="1:5" x14ac:dyDescent="0.3">
      <c r="A422" t="s">
        <v>18</v>
      </c>
      <c r="B422" t="s">
        <v>5</v>
      </c>
      <c r="C422" s="3">
        <v>46223</v>
      </c>
      <c r="D422" s="2">
        <v>0.16527777777777777</v>
      </c>
      <c r="E422" t="str">
        <f t="shared" si="6"/>
        <v>Segment B</v>
      </c>
    </row>
    <row r="423" spans="1:5" x14ac:dyDescent="0.3">
      <c r="A423" t="s">
        <v>18</v>
      </c>
      <c r="B423" t="s">
        <v>7</v>
      </c>
      <c r="C423" s="3">
        <v>46223</v>
      </c>
      <c r="D423" s="2">
        <v>0.15833333333333333</v>
      </c>
      <c r="E423" t="str">
        <f t="shared" si="6"/>
        <v>Segment B</v>
      </c>
    </row>
    <row r="424" spans="1:5" x14ac:dyDescent="0.3">
      <c r="A424" t="s">
        <v>18</v>
      </c>
      <c r="B424" t="s">
        <v>9</v>
      </c>
      <c r="C424" s="3">
        <v>46223</v>
      </c>
      <c r="D424" s="2">
        <v>0.18958333333333333</v>
      </c>
      <c r="E424" t="str">
        <f t="shared" si="6"/>
        <v>Segment B</v>
      </c>
    </row>
    <row r="425" spans="1:5" x14ac:dyDescent="0.3">
      <c r="A425" t="s">
        <v>181</v>
      </c>
      <c r="B425" t="s">
        <v>5</v>
      </c>
      <c r="C425" s="3">
        <v>46223</v>
      </c>
      <c r="D425" s="2">
        <v>0.1701388888888889</v>
      </c>
      <c r="E425" t="str">
        <f t="shared" si="6"/>
        <v>Segment B</v>
      </c>
    </row>
    <row r="426" spans="1:5" x14ac:dyDescent="0.3">
      <c r="A426" t="s">
        <v>181</v>
      </c>
      <c r="B426" t="s">
        <v>7</v>
      </c>
      <c r="C426" s="3">
        <v>46223</v>
      </c>
      <c r="D426" s="2">
        <v>0.15763888888888888</v>
      </c>
      <c r="E426" t="str">
        <f t="shared" si="6"/>
        <v>Segment B</v>
      </c>
    </row>
    <row r="427" spans="1:5" x14ac:dyDescent="0.3">
      <c r="A427" t="s">
        <v>181</v>
      </c>
      <c r="B427" t="s">
        <v>9</v>
      </c>
      <c r="C427" s="3">
        <v>46223</v>
      </c>
      <c r="D427" s="2">
        <v>0.20069444444444445</v>
      </c>
      <c r="E427" t="str">
        <f t="shared" si="6"/>
        <v>Segment B</v>
      </c>
    </row>
    <row r="428" spans="1:5" x14ac:dyDescent="0.3">
      <c r="A428" t="s">
        <v>212</v>
      </c>
      <c r="B428" t="s">
        <v>5</v>
      </c>
      <c r="C428" s="3">
        <v>46223</v>
      </c>
      <c r="D428" s="2">
        <v>0.15763888888888888</v>
      </c>
      <c r="E428" t="str">
        <f t="shared" si="6"/>
        <v>Segment B</v>
      </c>
    </row>
    <row r="429" spans="1:5" x14ac:dyDescent="0.3">
      <c r="A429" t="s">
        <v>212</v>
      </c>
      <c r="B429" t="s">
        <v>7</v>
      </c>
      <c r="C429" s="3">
        <v>46223</v>
      </c>
      <c r="D429" s="2">
        <v>0.16041666666666668</v>
      </c>
      <c r="E429" t="str">
        <f t="shared" si="6"/>
        <v>Segment B</v>
      </c>
    </row>
    <row r="430" spans="1:5" x14ac:dyDescent="0.3">
      <c r="A430" t="s">
        <v>210</v>
      </c>
      <c r="B430" t="s">
        <v>5</v>
      </c>
      <c r="C430" s="3">
        <v>46223</v>
      </c>
      <c r="D430" s="2">
        <v>0.17152777777777778</v>
      </c>
      <c r="E430" t="str">
        <f t="shared" si="6"/>
        <v>Segment B</v>
      </c>
    </row>
    <row r="431" spans="1:5" x14ac:dyDescent="0.3">
      <c r="A431" t="s">
        <v>210</v>
      </c>
      <c r="B431" t="s">
        <v>7</v>
      </c>
      <c r="C431" s="3">
        <v>46223</v>
      </c>
      <c r="D431" s="2">
        <v>0.17430555555555555</v>
      </c>
      <c r="E431" t="str">
        <f t="shared" si="6"/>
        <v>Segment B</v>
      </c>
    </row>
    <row r="432" spans="1:5" x14ac:dyDescent="0.3">
      <c r="A432" t="s">
        <v>78</v>
      </c>
      <c r="B432" t="s">
        <v>5</v>
      </c>
      <c r="C432" s="3">
        <v>46223</v>
      </c>
      <c r="D432" s="2">
        <v>0.16041666666666668</v>
      </c>
      <c r="E432" t="str">
        <f t="shared" si="6"/>
        <v>Segment B</v>
      </c>
    </row>
    <row r="433" spans="1:5" x14ac:dyDescent="0.3">
      <c r="A433" t="s">
        <v>78</v>
      </c>
      <c r="B433" t="s">
        <v>7</v>
      </c>
      <c r="C433" s="3">
        <v>46223</v>
      </c>
      <c r="D433" s="2">
        <v>0.15625</v>
      </c>
      <c r="E433" t="str">
        <f t="shared" si="6"/>
        <v>Segment B</v>
      </c>
    </row>
    <row r="434" spans="1:5" x14ac:dyDescent="0.3">
      <c r="A434" t="s">
        <v>69</v>
      </c>
      <c r="B434" t="s">
        <v>5</v>
      </c>
      <c r="C434" s="3">
        <v>46223</v>
      </c>
      <c r="D434" s="2">
        <v>0.16180555555555556</v>
      </c>
      <c r="E434" t="str">
        <f t="shared" si="6"/>
        <v>Segment B</v>
      </c>
    </row>
    <row r="435" spans="1:5" x14ac:dyDescent="0.3">
      <c r="A435" t="s">
        <v>69</v>
      </c>
      <c r="B435" t="s">
        <v>7</v>
      </c>
      <c r="C435" s="3">
        <v>46223</v>
      </c>
      <c r="D435" s="2">
        <v>0.16319444444444445</v>
      </c>
      <c r="E435" t="str">
        <f t="shared" si="6"/>
        <v>Segment B</v>
      </c>
    </row>
    <row r="436" spans="1:5" x14ac:dyDescent="0.3">
      <c r="A436" t="s">
        <v>28</v>
      </c>
      <c r="B436" t="s">
        <v>5</v>
      </c>
      <c r="C436" s="3">
        <v>46223</v>
      </c>
      <c r="D436" s="2">
        <v>0.15555555555555556</v>
      </c>
      <c r="E436" t="str">
        <f t="shared" si="6"/>
        <v>Segment B</v>
      </c>
    </row>
    <row r="437" spans="1:5" x14ac:dyDescent="0.3">
      <c r="A437" t="s">
        <v>28</v>
      </c>
      <c r="B437" t="s">
        <v>7</v>
      </c>
      <c r="C437" s="3">
        <v>46223</v>
      </c>
      <c r="D437" s="2">
        <v>0.18124999999999999</v>
      </c>
      <c r="E437" t="str">
        <f t="shared" si="6"/>
        <v>Segment B</v>
      </c>
    </row>
    <row r="438" spans="1:5" x14ac:dyDescent="0.3">
      <c r="A438" t="s">
        <v>59</v>
      </c>
      <c r="B438" t="s">
        <v>5</v>
      </c>
      <c r="C438" s="3">
        <v>46223</v>
      </c>
      <c r="D438" s="2">
        <v>0.14722222222222223</v>
      </c>
      <c r="E438" t="str">
        <f t="shared" si="6"/>
        <v>Segment B</v>
      </c>
    </row>
    <row r="439" spans="1:5" x14ac:dyDescent="0.3">
      <c r="A439" t="s">
        <v>59</v>
      </c>
      <c r="B439" t="s">
        <v>7</v>
      </c>
      <c r="C439" s="3">
        <v>46223</v>
      </c>
      <c r="D439" s="2">
        <v>0.1673611111111111</v>
      </c>
      <c r="E439" t="str">
        <f t="shared" si="6"/>
        <v>Segment B</v>
      </c>
    </row>
    <row r="440" spans="1:5" x14ac:dyDescent="0.3">
      <c r="A440" t="s">
        <v>180</v>
      </c>
      <c r="B440" t="s">
        <v>5</v>
      </c>
      <c r="C440" s="3">
        <v>46223</v>
      </c>
      <c r="D440" s="2">
        <v>0.15555555555555556</v>
      </c>
      <c r="E440" t="str">
        <f t="shared" si="6"/>
        <v>Segment B</v>
      </c>
    </row>
    <row r="441" spans="1:5" x14ac:dyDescent="0.3">
      <c r="A441" t="s">
        <v>180</v>
      </c>
      <c r="B441" t="s">
        <v>7</v>
      </c>
      <c r="C441" s="3">
        <v>46223</v>
      </c>
      <c r="D441" s="2">
        <v>0.1763888888888889</v>
      </c>
      <c r="E441" t="str">
        <f t="shared" si="6"/>
        <v>Segment B</v>
      </c>
    </row>
    <row r="442" spans="1:5" x14ac:dyDescent="0.3">
      <c r="A442" t="s">
        <v>171</v>
      </c>
      <c r="B442" t="s">
        <v>5</v>
      </c>
      <c r="C442" s="3">
        <v>46223</v>
      </c>
      <c r="D442" s="2">
        <v>0.15</v>
      </c>
      <c r="E442" t="str">
        <f t="shared" si="6"/>
        <v>Segment B</v>
      </c>
    </row>
    <row r="443" spans="1:5" x14ac:dyDescent="0.3">
      <c r="A443" t="s">
        <v>171</v>
      </c>
      <c r="B443" t="s">
        <v>7</v>
      </c>
      <c r="C443" s="3">
        <v>46223</v>
      </c>
      <c r="D443" s="2">
        <v>0.16597222222222222</v>
      </c>
      <c r="E443" t="str">
        <f t="shared" si="6"/>
        <v>Segment B</v>
      </c>
    </row>
    <row r="444" spans="1:5" x14ac:dyDescent="0.3">
      <c r="A444" t="s">
        <v>127</v>
      </c>
      <c r="B444" t="s">
        <v>5</v>
      </c>
      <c r="C444" s="3">
        <v>46223</v>
      </c>
      <c r="D444" s="2">
        <v>0.14583333333333334</v>
      </c>
      <c r="E444" t="str">
        <f t="shared" si="6"/>
        <v>Segment B</v>
      </c>
    </row>
    <row r="445" spans="1:5" x14ac:dyDescent="0.3">
      <c r="A445" t="s">
        <v>127</v>
      </c>
      <c r="B445" t="s">
        <v>6</v>
      </c>
      <c r="C445" s="3">
        <v>46223</v>
      </c>
      <c r="D445" s="2">
        <v>0.1701388888888889</v>
      </c>
      <c r="E445" t="str">
        <f t="shared" si="6"/>
        <v>Segment B</v>
      </c>
    </row>
    <row r="446" spans="1:5" x14ac:dyDescent="0.3">
      <c r="A446" t="s">
        <v>90</v>
      </c>
      <c r="B446" t="s">
        <v>5</v>
      </c>
      <c r="C446" s="3">
        <v>46223</v>
      </c>
      <c r="D446" s="2">
        <v>0.15763888888888888</v>
      </c>
      <c r="E446" t="str">
        <f t="shared" si="6"/>
        <v>Segment B</v>
      </c>
    </row>
    <row r="447" spans="1:5" x14ac:dyDescent="0.3">
      <c r="A447" t="s">
        <v>90</v>
      </c>
      <c r="B447" t="s">
        <v>6</v>
      </c>
      <c r="C447" s="3">
        <v>46223</v>
      </c>
      <c r="D447" s="2">
        <v>0.1673611111111111</v>
      </c>
      <c r="E447" t="str">
        <f t="shared" si="6"/>
        <v>Segment B</v>
      </c>
    </row>
    <row r="448" spans="1:5" x14ac:dyDescent="0.3">
      <c r="A448" t="s">
        <v>53</v>
      </c>
      <c r="B448" t="s">
        <v>5</v>
      </c>
      <c r="C448" s="3">
        <v>46223</v>
      </c>
      <c r="D448" s="2">
        <v>0.15347222222222223</v>
      </c>
      <c r="E448" t="str">
        <f t="shared" si="6"/>
        <v>Segment B</v>
      </c>
    </row>
    <row r="449" spans="1:5" x14ac:dyDescent="0.3">
      <c r="A449" t="s">
        <v>53</v>
      </c>
      <c r="B449" t="s">
        <v>6</v>
      </c>
      <c r="C449" s="3">
        <v>46223</v>
      </c>
      <c r="D449" s="2">
        <v>0.18055555555555555</v>
      </c>
      <c r="E449" t="str">
        <f t="shared" si="6"/>
        <v>Segment B</v>
      </c>
    </row>
    <row r="450" spans="1:5" x14ac:dyDescent="0.3">
      <c r="A450" t="s">
        <v>213</v>
      </c>
      <c r="B450" t="s">
        <v>5</v>
      </c>
      <c r="C450" s="3">
        <v>46223</v>
      </c>
      <c r="D450" s="2">
        <v>0.14791666666666667</v>
      </c>
      <c r="E450" t="str">
        <f t="shared" si="6"/>
        <v>Segment B</v>
      </c>
    </row>
    <row r="451" spans="1:5" x14ac:dyDescent="0.3">
      <c r="A451" t="s">
        <v>213</v>
      </c>
      <c r="B451" t="s">
        <v>6</v>
      </c>
      <c r="C451" s="3">
        <v>46223</v>
      </c>
      <c r="D451" s="2">
        <v>0.19027777777777777</v>
      </c>
      <c r="E451" t="str">
        <f t="shared" ref="E451:E514" si="7">IF(VALUE(RIGHT(A451,3))&lt;=100,"Segment A","Segment B")</f>
        <v>Segment B</v>
      </c>
    </row>
    <row r="452" spans="1:5" x14ac:dyDescent="0.3">
      <c r="A452" t="s">
        <v>37</v>
      </c>
      <c r="B452" t="s">
        <v>5</v>
      </c>
      <c r="C452" s="3">
        <v>46223</v>
      </c>
      <c r="D452" s="2">
        <v>0.15625</v>
      </c>
      <c r="E452" t="str">
        <f t="shared" si="7"/>
        <v>Segment B</v>
      </c>
    </row>
    <row r="453" spans="1:5" x14ac:dyDescent="0.3">
      <c r="A453" t="s">
        <v>37</v>
      </c>
      <c r="B453" t="s">
        <v>6</v>
      </c>
      <c r="C453" s="3">
        <v>46223</v>
      </c>
      <c r="D453" s="2">
        <v>0.16875000000000001</v>
      </c>
      <c r="E453" t="str">
        <f t="shared" si="7"/>
        <v>Segment B</v>
      </c>
    </row>
    <row r="454" spans="1:5" x14ac:dyDescent="0.3">
      <c r="A454" t="s">
        <v>163</v>
      </c>
      <c r="B454" t="s">
        <v>5</v>
      </c>
      <c r="C454" s="3">
        <v>46223</v>
      </c>
      <c r="D454" s="2">
        <v>0.16319444444444445</v>
      </c>
      <c r="E454" t="str">
        <f t="shared" si="7"/>
        <v>Segment B</v>
      </c>
    </row>
    <row r="455" spans="1:5" x14ac:dyDescent="0.3">
      <c r="A455" t="s">
        <v>163</v>
      </c>
      <c r="B455" t="s">
        <v>6</v>
      </c>
      <c r="C455" s="3">
        <v>46223</v>
      </c>
      <c r="D455" s="2">
        <v>0.17569444444444443</v>
      </c>
      <c r="E455" t="str">
        <f t="shared" si="7"/>
        <v>Segment B</v>
      </c>
    </row>
    <row r="456" spans="1:5" x14ac:dyDescent="0.3">
      <c r="A456" t="s">
        <v>81</v>
      </c>
      <c r="B456" t="s">
        <v>5</v>
      </c>
      <c r="C456" s="3">
        <v>46223</v>
      </c>
      <c r="D456" s="2">
        <v>0.14652777777777778</v>
      </c>
      <c r="E456" t="str">
        <f t="shared" si="7"/>
        <v>Segment B</v>
      </c>
    </row>
    <row r="457" spans="1:5" x14ac:dyDescent="0.3">
      <c r="A457" t="s">
        <v>81</v>
      </c>
      <c r="B457" t="s">
        <v>6</v>
      </c>
      <c r="C457" s="3">
        <v>46223</v>
      </c>
      <c r="D457" s="2">
        <v>0.18888888888888888</v>
      </c>
      <c r="E457" t="str">
        <f t="shared" si="7"/>
        <v>Segment B</v>
      </c>
    </row>
    <row r="458" spans="1:5" x14ac:dyDescent="0.3">
      <c r="A458" t="s">
        <v>209</v>
      </c>
      <c r="B458" t="s">
        <v>5</v>
      </c>
      <c r="C458" s="3">
        <v>46223</v>
      </c>
      <c r="D458" s="2">
        <v>0.15277777777777779</v>
      </c>
      <c r="E458" t="str">
        <f t="shared" si="7"/>
        <v>Segment B</v>
      </c>
    </row>
    <row r="459" spans="1:5" x14ac:dyDescent="0.3">
      <c r="A459" t="s">
        <v>209</v>
      </c>
      <c r="B459" t="s">
        <v>6</v>
      </c>
      <c r="C459" s="3">
        <v>46223</v>
      </c>
      <c r="D459" s="2">
        <v>0.17222222222222222</v>
      </c>
      <c r="E459" t="str">
        <f t="shared" si="7"/>
        <v>Segment B</v>
      </c>
    </row>
    <row r="460" spans="1:5" x14ac:dyDescent="0.3">
      <c r="A460" t="s">
        <v>166</v>
      </c>
      <c r="B460" t="s">
        <v>5</v>
      </c>
      <c r="C460" s="3">
        <v>46223</v>
      </c>
      <c r="D460" s="2">
        <v>0.15069444444444444</v>
      </c>
      <c r="E460" t="str">
        <f t="shared" si="7"/>
        <v>Segment B</v>
      </c>
    </row>
    <row r="461" spans="1:5" x14ac:dyDescent="0.3">
      <c r="A461" t="s">
        <v>166</v>
      </c>
      <c r="B461" t="s">
        <v>6</v>
      </c>
      <c r="C461" s="3">
        <v>46223</v>
      </c>
      <c r="D461" s="2">
        <v>0.1701388888888889</v>
      </c>
      <c r="E461" t="str">
        <f t="shared" si="7"/>
        <v>Segment B</v>
      </c>
    </row>
    <row r="462" spans="1:5" x14ac:dyDescent="0.3">
      <c r="A462" t="s">
        <v>182</v>
      </c>
      <c r="B462" t="s">
        <v>5</v>
      </c>
      <c r="C462" s="3">
        <v>46223</v>
      </c>
      <c r="D462" s="2">
        <v>0.15277777777777779</v>
      </c>
      <c r="E462" t="str">
        <f t="shared" si="7"/>
        <v>Segment B</v>
      </c>
    </row>
    <row r="463" spans="1:5" x14ac:dyDescent="0.3">
      <c r="A463" t="s">
        <v>182</v>
      </c>
      <c r="B463" t="s">
        <v>6</v>
      </c>
      <c r="C463" s="3">
        <v>46223</v>
      </c>
      <c r="D463" s="2">
        <v>0.17291666666666666</v>
      </c>
      <c r="E463" t="str">
        <f t="shared" si="7"/>
        <v>Segment B</v>
      </c>
    </row>
    <row r="464" spans="1:5" x14ac:dyDescent="0.3">
      <c r="A464" t="s">
        <v>142</v>
      </c>
      <c r="B464" t="s">
        <v>5</v>
      </c>
      <c r="C464" s="3">
        <v>46223</v>
      </c>
      <c r="D464" s="2">
        <v>0.15069444444444444</v>
      </c>
      <c r="E464" t="str">
        <f t="shared" si="7"/>
        <v>Segment B</v>
      </c>
    </row>
    <row r="465" spans="1:5" x14ac:dyDescent="0.3">
      <c r="A465" t="s">
        <v>142</v>
      </c>
      <c r="B465" t="s">
        <v>6</v>
      </c>
      <c r="C465" s="3">
        <v>46223</v>
      </c>
      <c r="D465" s="2">
        <v>0.17291666666666666</v>
      </c>
      <c r="E465" t="str">
        <f t="shared" si="7"/>
        <v>Segment B</v>
      </c>
    </row>
    <row r="466" spans="1:5" x14ac:dyDescent="0.3">
      <c r="A466" t="s">
        <v>47</v>
      </c>
      <c r="B466" t="s">
        <v>5</v>
      </c>
      <c r="C466" s="3">
        <v>46223</v>
      </c>
      <c r="D466" s="2">
        <v>0.1673611111111111</v>
      </c>
      <c r="E466" t="str">
        <f t="shared" si="7"/>
        <v>Segment B</v>
      </c>
    </row>
    <row r="467" spans="1:5" x14ac:dyDescent="0.3">
      <c r="A467" t="s">
        <v>47</v>
      </c>
      <c r="B467" t="s">
        <v>6</v>
      </c>
      <c r="C467" s="3">
        <v>46223</v>
      </c>
      <c r="D467" s="2">
        <v>0.18888888888888888</v>
      </c>
      <c r="E467" t="str">
        <f t="shared" si="7"/>
        <v>Segment B</v>
      </c>
    </row>
    <row r="468" spans="1:5" x14ac:dyDescent="0.3">
      <c r="A468" t="s">
        <v>108</v>
      </c>
      <c r="B468" t="s">
        <v>5</v>
      </c>
      <c r="C468" s="3">
        <v>46223</v>
      </c>
      <c r="D468" s="2">
        <v>0.15833333333333333</v>
      </c>
      <c r="E468" t="str">
        <f t="shared" si="7"/>
        <v>Segment B</v>
      </c>
    </row>
    <row r="469" spans="1:5" x14ac:dyDescent="0.3">
      <c r="A469" t="s">
        <v>108</v>
      </c>
      <c r="B469" t="s">
        <v>6</v>
      </c>
      <c r="C469" s="3">
        <v>46223</v>
      </c>
      <c r="D469" s="2">
        <v>0.1763888888888889</v>
      </c>
      <c r="E469" t="str">
        <f t="shared" si="7"/>
        <v>Segment B</v>
      </c>
    </row>
    <row r="470" spans="1:5" x14ac:dyDescent="0.3">
      <c r="A470" t="s">
        <v>112</v>
      </c>
      <c r="B470" t="s">
        <v>5</v>
      </c>
      <c r="C470" s="3">
        <v>46223</v>
      </c>
      <c r="D470" s="2">
        <v>0.15</v>
      </c>
      <c r="E470" t="str">
        <f t="shared" si="7"/>
        <v>Segment B</v>
      </c>
    </row>
    <row r="471" spans="1:5" x14ac:dyDescent="0.3">
      <c r="A471" t="s">
        <v>112</v>
      </c>
      <c r="B471" t="s">
        <v>6</v>
      </c>
      <c r="C471" s="3">
        <v>46223</v>
      </c>
      <c r="D471" s="2">
        <v>0.1763888888888889</v>
      </c>
      <c r="E471" t="str">
        <f t="shared" si="7"/>
        <v>Segment B</v>
      </c>
    </row>
    <row r="472" spans="1:5" x14ac:dyDescent="0.3">
      <c r="A472" t="s">
        <v>149</v>
      </c>
      <c r="B472" t="s">
        <v>5</v>
      </c>
      <c r="C472" s="3">
        <v>46223</v>
      </c>
      <c r="D472" s="2">
        <v>0.14722222222222223</v>
      </c>
      <c r="E472" t="str">
        <f t="shared" si="7"/>
        <v>Segment B</v>
      </c>
    </row>
    <row r="473" spans="1:5" x14ac:dyDescent="0.3">
      <c r="A473" t="s">
        <v>149</v>
      </c>
      <c r="B473" t="s">
        <v>6</v>
      </c>
      <c r="C473" s="3">
        <v>46223</v>
      </c>
      <c r="D473" s="2">
        <v>0.18611111111111112</v>
      </c>
      <c r="E473" t="str">
        <f t="shared" si="7"/>
        <v>Segment B</v>
      </c>
    </row>
    <row r="474" spans="1:5" x14ac:dyDescent="0.3">
      <c r="A474" t="s">
        <v>153</v>
      </c>
      <c r="B474" t="s">
        <v>5</v>
      </c>
      <c r="C474" s="3">
        <v>46223</v>
      </c>
      <c r="D474" s="2">
        <v>0.15833333333333333</v>
      </c>
      <c r="E474" t="str">
        <f t="shared" si="7"/>
        <v>Segment B</v>
      </c>
    </row>
    <row r="475" spans="1:5" x14ac:dyDescent="0.3">
      <c r="A475" t="s">
        <v>153</v>
      </c>
      <c r="B475" t="s">
        <v>6</v>
      </c>
      <c r="C475" s="3">
        <v>46223</v>
      </c>
      <c r="D475" s="2">
        <v>0.18611111111111112</v>
      </c>
      <c r="E475" t="str">
        <f t="shared" si="7"/>
        <v>Segment B</v>
      </c>
    </row>
    <row r="476" spans="1:5" x14ac:dyDescent="0.3">
      <c r="A476" t="s">
        <v>173</v>
      </c>
      <c r="B476" t="s">
        <v>5</v>
      </c>
      <c r="C476" s="3">
        <v>46223</v>
      </c>
      <c r="D476" s="2">
        <v>0.15416666666666667</v>
      </c>
      <c r="E476" t="str">
        <f t="shared" si="7"/>
        <v>Segment B</v>
      </c>
    </row>
    <row r="477" spans="1:5" x14ac:dyDescent="0.3">
      <c r="A477" t="s">
        <v>173</v>
      </c>
      <c r="B477" t="s">
        <v>6</v>
      </c>
      <c r="C477" s="3">
        <v>46223</v>
      </c>
      <c r="D477" s="2">
        <v>0.16666666666666666</v>
      </c>
      <c r="E477" t="str">
        <f t="shared" si="7"/>
        <v>Segment B</v>
      </c>
    </row>
    <row r="478" spans="1:5" x14ac:dyDescent="0.3">
      <c r="A478" t="s">
        <v>208</v>
      </c>
      <c r="B478" t="s">
        <v>5</v>
      </c>
      <c r="C478" s="3">
        <v>46223</v>
      </c>
      <c r="D478" s="2">
        <v>0.16666666666666666</v>
      </c>
      <c r="E478" t="str">
        <f t="shared" si="7"/>
        <v>Segment B</v>
      </c>
    </row>
    <row r="479" spans="1:5" x14ac:dyDescent="0.3">
      <c r="A479" t="s">
        <v>208</v>
      </c>
      <c r="B479" t="s">
        <v>6</v>
      </c>
      <c r="C479" s="3">
        <v>46223</v>
      </c>
      <c r="D479" s="2">
        <v>0.17847222222222223</v>
      </c>
      <c r="E479" t="str">
        <f t="shared" si="7"/>
        <v>Segment B</v>
      </c>
    </row>
    <row r="480" spans="1:5" x14ac:dyDescent="0.3">
      <c r="A480" t="s">
        <v>159</v>
      </c>
      <c r="B480" t="s">
        <v>5</v>
      </c>
      <c r="C480" s="3">
        <v>46223</v>
      </c>
      <c r="D480" s="2">
        <v>0.16944444444444445</v>
      </c>
      <c r="E480" t="str">
        <f t="shared" si="7"/>
        <v>Segment B</v>
      </c>
    </row>
    <row r="481" spans="1:5" x14ac:dyDescent="0.3">
      <c r="A481" t="s">
        <v>159</v>
      </c>
      <c r="B481" t="s">
        <v>6</v>
      </c>
      <c r="C481" s="3">
        <v>46223</v>
      </c>
      <c r="D481" s="2">
        <v>0.17152777777777778</v>
      </c>
      <c r="E481" t="str">
        <f t="shared" si="7"/>
        <v>Segment B</v>
      </c>
    </row>
    <row r="482" spans="1:5" x14ac:dyDescent="0.3">
      <c r="A482" t="s">
        <v>96</v>
      </c>
      <c r="B482" t="s">
        <v>5</v>
      </c>
      <c r="C482" s="3">
        <v>46223</v>
      </c>
      <c r="D482" s="2">
        <v>0.1673611111111111</v>
      </c>
      <c r="E482" t="str">
        <f t="shared" si="7"/>
        <v>Segment B</v>
      </c>
    </row>
    <row r="483" spans="1:5" x14ac:dyDescent="0.3">
      <c r="A483" t="s">
        <v>96</v>
      </c>
      <c r="B483" t="s">
        <v>6</v>
      </c>
      <c r="C483" s="3">
        <v>46223</v>
      </c>
      <c r="D483" s="2">
        <v>0.18680555555555556</v>
      </c>
      <c r="E483" t="str">
        <f t="shared" si="7"/>
        <v>Segment B</v>
      </c>
    </row>
    <row r="484" spans="1:5" x14ac:dyDescent="0.3">
      <c r="A484" t="s">
        <v>165</v>
      </c>
      <c r="B484" t="s">
        <v>5</v>
      </c>
      <c r="C484" s="3">
        <v>46223</v>
      </c>
      <c r="D484" s="2">
        <v>0.15972222222222221</v>
      </c>
      <c r="E484" t="str">
        <f t="shared" si="7"/>
        <v>Segment B</v>
      </c>
    </row>
    <row r="485" spans="1:5" x14ac:dyDescent="0.3">
      <c r="A485" t="s">
        <v>165</v>
      </c>
      <c r="B485" t="s">
        <v>6</v>
      </c>
      <c r="C485" s="3">
        <v>46223</v>
      </c>
      <c r="D485" s="2">
        <v>0.1701388888888889</v>
      </c>
      <c r="E485" t="str">
        <f t="shared" si="7"/>
        <v>Segment B</v>
      </c>
    </row>
    <row r="486" spans="1:5" x14ac:dyDescent="0.3">
      <c r="A486" t="s">
        <v>214</v>
      </c>
      <c r="B486" t="s">
        <v>5</v>
      </c>
      <c r="C486" s="3">
        <v>46223</v>
      </c>
      <c r="D486" s="2">
        <v>0.14652777777777778</v>
      </c>
      <c r="E486" t="str">
        <f t="shared" si="7"/>
        <v>Segment B</v>
      </c>
    </row>
    <row r="487" spans="1:5" x14ac:dyDescent="0.3">
      <c r="A487" t="s">
        <v>214</v>
      </c>
      <c r="B487" t="s">
        <v>6</v>
      </c>
      <c r="C487" s="3">
        <v>46223</v>
      </c>
      <c r="D487" s="2">
        <v>0.1701388888888889</v>
      </c>
      <c r="E487" t="str">
        <f t="shared" si="7"/>
        <v>Segment B</v>
      </c>
    </row>
    <row r="488" spans="1:5" x14ac:dyDescent="0.3">
      <c r="A488" t="s">
        <v>198</v>
      </c>
      <c r="B488" t="s">
        <v>5</v>
      </c>
      <c r="C488" s="3">
        <v>46223</v>
      </c>
      <c r="D488" s="2">
        <v>0.16666666666666666</v>
      </c>
      <c r="E488" t="str">
        <f t="shared" si="7"/>
        <v>Segment B</v>
      </c>
    </row>
    <row r="489" spans="1:5" x14ac:dyDescent="0.3">
      <c r="A489" t="s">
        <v>198</v>
      </c>
      <c r="B489" t="s">
        <v>6</v>
      </c>
      <c r="C489" s="3">
        <v>46223</v>
      </c>
      <c r="D489" s="2">
        <v>0.17152777777777778</v>
      </c>
      <c r="E489" t="str">
        <f t="shared" si="7"/>
        <v>Segment B</v>
      </c>
    </row>
    <row r="490" spans="1:5" x14ac:dyDescent="0.3">
      <c r="A490" t="s">
        <v>140</v>
      </c>
      <c r="B490" t="s">
        <v>5</v>
      </c>
      <c r="C490" s="3">
        <v>46223</v>
      </c>
      <c r="D490" s="2">
        <v>0.15416666666666667</v>
      </c>
      <c r="E490" t="str">
        <f t="shared" si="7"/>
        <v>Segment B</v>
      </c>
    </row>
    <row r="491" spans="1:5" x14ac:dyDescent="0.3">
      <c r="A491" t="s">
        <v>140</v>
      </c>
      <c r="B491" t="s">
        <v>6</v>
      </c>
      <c r="C491" s="3">
        <v>46223</v>
      </c>
      <c r="D491" s="2">
        <v>0.17291666666666666</v>
      </c>
      <c r="E491" t="str">
        <f t="shared" si="7"/>
        <v>Segment B</v>
      </c>
    </row>
    <row r="492" spans="1:5" x14ac:dyDescent="0.3">
      <c r="A492" t="s">
        <v>169</v>
      </c>
      <c r="B492" t="s">
        <v>5</v>
      </c>
      <c r="C492" s="3">
        <v>46223</v>
      </c>
      <c r="D492" s="2">
        <v>0.14930555555555555</v>
      </c>
      <c r="E492" t="str">
        <f t="shared" si="7"/>
        <v>Segment B</v>
      </c>
    </row>
    <row r="493" spans="1:5" x14ac:dyDescent="0.3">
      <c r="A493" t="s">
        <v>169</v>
      </c>
      <c r="B493" t="s">
        <v>6</v>
      </c>
      <c r="C493" s="3">
        <v>46223</v>
      </c>
      <c r="D493" s="2">
        <v>0.19305555555555556</v>
      </c>
      <c r="E493" t="str">
        <f t="shared" si="7"/>
        <v>Segment B</v>
      </c>
    </row>
    <row r="494" spans="1:5" x14ac:dyDescent="0.3">
      <c r="A494" t="s">
        <v>172</v>
      </c>
      <c r="B494" t="s">
        <v>5</v>
      </c>
      <c r="C494" s="3">
        <v>46223</v>
      </c>
      <c r="D494" s="2">
        <v>0.15208333333333332</v>
      </c>
      <c r="E494" t="str">
        <f t="shared" si="7"/>
        <v>Segment B</v>
      </c>
    </row>
    <row r="495" spans="1:5" x14ac:dyDescent="0.3">
      <c r="A495" t="s">
        <v>172</v>
      </c>
      <c r="B495" t="s">
        <v>6</v>
      </c>
      <c r="C495" s="3">
        <v>46223</v>
      </c>
      <c r="D495" s="2">
        <v>0.17986111111111111</v>
      </c>
      <c r="E495" t="str">
        <f t="shared" si="7"/>
        <v>Segment B</v>
      </c>
    </row>
    <row r="496" spans="1:5" x14ac:dyDescent="0.3">
      <c r="A496" t="s">
        <v>91</v>
      </c>
      <c r="B496" t="s">
        <v>5</v>
      </c>
      <c r="C496" s="3">
        <v>46223</v>
      </c>
      <c r="D496" s="2">
        <v>0.15763888888888888</v>
      </c>
      <c r="E496" t="str">
        <f t="shared" si="7"/>
        <v>Segment B</v>
      </c>
    </row>
    <row r="497" spans="1:5" x14ac:dyDescent="0.3">
      <c r="A497" t="s">
        <v>91</v>
      </c>
      <c r="B497" t="s">
        <v>6</v>
      </c>
      <c r="C497" s="3">
        <v>46223</v>
      </c>
      <c r="D497" s="2">
        <v>0.17430555555555555</v>
      </c>
      <c r="E497" t="str">
        <f t="shared" si="7"/>
        <v>Segment B</v>
      </c>
    </row>
    <row r="498" spans="1:5" x14ac:dyDescent="0.3">
      <c r="A498" t="s">
        <v>36</v>
      </c>
      <c r="B498" t="s">
        <v>5</v>
      </c>
      <c r="C498" s="3">
        <v>46223</v>
      </c>
      <c r="D498" s="2">
        <v>0.15347222222222223</v>
      </c>
      <c r="E498" t="str">
        <f t="shared" si="7"/>
        <v>Segment B</v>
      </c>
    </row>
    <row r="499" spans="1:5" x14ac:dyDescent="0.3">
      <c r="A499" t="s">
        <v>36</v>
      </c>
      <c r="B499" t="s">
        <v>6</v>
      </c>
      <c r="C499" s="3">
        <v>46223</v>
      </c>
      <c r="D499" s="2">
        <v>0.18819444444444444</v>
      </c>
      <c r="E499" t="str">
        <f t="shared" si="7"/>
        <v>Segment B</v>
      </c>
    </row>
    <row r="500" spans="1:5" x14ac:dyDescent="0.3">
      <c r="A500" t="s">
        <v>97</v>
      </c>
      <c r="B500" t="s">
        <v>5</v>
      </c>
      <c r="C500" s="3">
        <v>46223</v>
      </c>
      <c r="D500" s="2">
        <v>0.1701388888888889</v>
      </c>
      <c r="E500" t="str">
        <f t="shared" si="7"/>
        <v>Segment B</v>
      </c>
    </row>
    <row r="501" spans="1:5" x14ac:dyDescent="0.3">
      <c r="A501" t="s">
        <v>97</v>
      </c>
      <c r="B501" t="s">
        <v>6</v>
      </c>
      <c r="C501" s="3">
        <v>46223</v>
      </c>
      <c r="D501" s="2">
        <v>0.16805555555555557</v>
      </c>
      <c r="E501" t="str">
        <f t="shared" si="7"/>
        <v>Segment B</v>
      </c>
    </row>
    <row r="502" spans="1:5" x14ac:dyDescent="0.3">
      <c r="A502" t="s">
        <v>133</v>
      </c>
      <c r="B502" t="s">
        <v>5</v>
      </c>
      <c r="C502" s="3">
        <v>46223</v>
      </c>
      <c r="D502" s="2">
        <v>0.15138888888888888</v>
      </c>
      <c r="E502" t="str">
        <f t="shared" si="7"/>
        <v>Segment B</v>
      </c>
    </row>
    <row r="503" spans="1:5" x14ac:dyDescent="0.3">
      <c r="A503" t="s">
        <v>133</v>
      </c>
      <c r="B503" t="s">
        <v>6</v>
      </c>
      <c r="C503" s="3">
        <v>46223</v>
      </c>
      <c r="D503" s="2">
        <v>0.19375000000000001</v>
      </c>
      <c r="E503" t="str">
        <f t="shared" si="7"/>
        <v>Segment B</v>
      </c>
    </row>
    <row r="504" spans="1:5" x14ac:dyDescent="0.3">
      <c r="A504" t="s">
        <v>168</v>
      </c>
      <c r="B504" t="s">
        <v>5</v>
      </c>
      <c r="C504" s="3">
        <v>46223</v>
      </c>
      <c r="D504" s="2">
        <v>0.16527777777777777</v>
      </c>
      <c r="E504" t="str">
        <f t="shared" si="7"/>
        <v>Segment B</v>
      </c>
    </row>
    <row r="505" spans="1:5" x14ac:dyDescent="0.3">
      <c r="A505" t="s">
        <v>168</v>
      </c>
      <c r="B505" t="s">
        <v>6</v>
      </c>
      <c r="C505" s="3">
        <v>46223</v>
      </c>
      <c r="D505" s="2">
        <v>0.18124999999999999</v>
      </c>
      <c r="E505" t="str">
        <f t="shared" si="7"/>
        <v>Segment B</v>
      </c>
    </row>
    <row r="506" spans="1:5" x14ac:dyDescent="0.3">
      <c r="A506" t="s">
        <v>204</v>
      </c>
      <c r="B506" t="s">
        <v>5</v>
      </c>
      <c r="C506" s="3">
        <v>46223</v>
      </c>
      <c r="D506" s="2">
        <v>0.16944444444444445</v>
      </c>
      <c r="E506" t="str">
        <f t="shared" si="7"/>
        <v>Segment B</v>
      </c>
    </row>
    <row r="507" spans="1:5" x14ac:dyDescent="0.3">
      <c r="A507" t="s">
        <v>204</v>
      </c>
      <c r="B507" t="s">
        <v>6</v>
      </c>
      <c r="C507" s="3">
        <v>46223</v>
      </c>
      <c r="D507" s="2">
        <v>0.1736111111111111</v>
      </c>
      <c r="E507" t="str">
        <f t="shared" si="7"/>
        <v>Segment B</v>
      </c>
    </row>
    <row r="508" spans="1:5" x14ac:dyDescent="0.3">
      <c r="A508" t="s">
        <v>16</v>
      </c>
      <c r="B508" t="s">
        <v>5</v>
      </c>
      <c r="C508" s="3">
        <v>46223</v>
      </c>
      <c r="D508" s="2">
        <v>0.15972222222222221</v>
      </c>
      <c r="E508" t="str">
        <f t="shared" si="7"/>
        <v>Segment B</v>
      </c>
    </row>
    <row r="509" spans="1:5" x14ac:dyDescent="0.3">
      <c r="A509" t="s">
        <v>16</v>
      </c>
      <c r="B509" t="s">
        <v>6</v>
      </c>
      <c r="C509" s="3">
        <v>46223</v>
      </c>
      <c r="D509" s="2">
        <v>0.1736111111111111</v>
      </c>
      <c r="E509" t="str">
        <f t="shared" si="7"/>
        <v>Segment B</v>
      </c>
    </row>
    <row r="510" spans="1:5" x14ac:dyDescent="0.3">
      <c r="A510" t="s">
        <v>111</v>
      </c>
      <c r="B510" t="s">
        <v>5</v>
      </c>
      <c r="C510" s="3">
        <v>46223</v>
      </c>
      <c r="D510" s="2">
        <v>0.15</v>
      </c>
      <c r="E510" t="str">
        <f t="shared" si="7"/>
        <v>Segment B</v>
      </c>
    </row>
    <row r="511" spans="1:5" x14ac:dyDescent="0.3">
      <c r="A511" t="s">
        <v>111</v>
      </c>
      <c r="B511" t="s">
        <v>6</v>
      </c>
      <c r="C511" s="3">
        <v>46223</v>
      </c>
      <c r="D511" s="2">
        <v>0.18958333333333333</v>
      </c>
      <c r="E511" t="str">
        <f t="shared" si="7"/>
        <v>Segment B</v>
      </c>
    </row>
    <row r="512" spans="1:5" x14ac:dyDescent="0.3">
      <c r="A512" t="s">
        <v>148</v>
      </c>
      <c r="B512" t="s">
        <v>5</v>
      </c>
      <c r="C512" s="3">
        <v>46223</v>
      </c>
      <c r="D512" s="2">
        <v>0.16805555555555557</v>
      </c>
      <c r="E512" t="str">
        <f t="shared" si="7"/>
        <v>Segment B</v>
      </c>
    </row>
    <row r="513" spans="1:5" x14ac:dyDescent="0.3">
      <c r="A513" t="s">
        <v>148</v>
      </c>
      <c r="B513" t="s">
        <v>6</v>
      </c>
      <c r="C513" s="3">
        <v>46223</v>
      </c>
      <c r="D513" s="2">
        <v>0.19166666666666668</v>
      </c>
      <c r="E513" t="str">
        <f t="shared" si="7"/>
        <v>Segment B</v>
      </c>
    </row>
    <row r="514" spans="1:5" x14ac:dyDescent="0.3">
      <c r="A514" t="s">
        <v>27</v>
      </c>
      <c r="B514" t="s">
        <v>5</v>
      </c>
      <c r="C514" s="3">
        <v>46223</v>
      </c>
      <c r="D514" s="2">
        <v>0.16527777777777777</v>
      </c>
      <c r="E514" t="str">
        <f t="shared" si="7"/>
        <v>Segment B</v>
      </c>
    </row>
    <row r="515" spans="1:5" x14ac:dyDescent="0.3">
      <c r="A515" t="s">
        <v>27</v>
      </c>
      <c r="B515" t="s">
        <v>6</v>
      </c>
      <c r="C515" s="3">
        <v>46223</v>
      </c>
      <c r="D515" s="2">
        <v>0.16805555555555557</v>
      </c>
      <c r="E515" t="str">
        <f t="shared" ref="E515:E543" si="8">IF(VALUE(RIGHT(A515,3))&lt;=100,"Segment A","Segment B")</f>
        <v>Segment B</v>
      </c>
    </row>
    <row r="516" spans="1:5" x14ac:dyDescent="0.3">
      <c r="A516" t="s">
        <v>73</v>
      </c>
      <c r="B516" t="s">
        <v>5</v>
      </c>
      <c r="C516" s="3">
        <v>46223</v>
      </c>
      <c r="D516" s="2">
        <v>0.1673611111111111</v>
      </c>
      <c r="E516" t="str">
        <f t="shared" si="8"/>
        <v>Segment B</v>
      </c>
    </row>
    <row r="517" spans="1:5" x14ac:dyDescent="0.3">
      <c r="A517" t="s">
        <v>73</v>
      </c>
      <c r="B517" t="s">
        <v>6</v>
      </c>
      <c r="C517" s="3">
        <v>46223</v>
      </c>
      <c r="D517" s="2">
        <v>0.19305555555555556</v>
      </c>
      <c r="E517" t="str">
        <f t="shared" si="8"/>
        <v>Segment B</v>
      </c>
    </row>
    <row r="518" spans="1:5" x14ac:dyDescent="0.3">
      <c r="A518" t="s">
        <v>95</v>
      </c>
      <c r="B518" t="s">
        <v>5</v>
      </c>
      <c r="C518" s="3">
        <v>46223</v>
      </c>
      <c r="D518" s="2">
        <v>0.16458333333333333</v>
      </c>
      <c r="E518" t="str">
        <f t="shared" si="8"/>
        <v>Segment B</v>
      </c>
    </row>
    <row r="519" spans="1:5" x14ac:dyDescent="0.3">
      <c r="A519" t="s">
        <v>95</v>
      </c>
      <c r="B519" t="s">
        <v>6</v>
      </c>
      <c r="C519" s="3">
        <v>46223</v>
      </c>
      <c r="D519" s="2">
        <v>0.16875000000000001</v>
      </c>
      <c r="E519" t="str">
        <f t="shared" si="8"/>
        <v>Segment B</v>
      </c>
    </row>
    <row r="520" spans="1:5" x14ac:dyDescent="0.3">
      <c r="A520" t="s">
        <v>187</v>
      </c>
      <c r="B520" t="s">
        <v>5</v>
      </c>
      <c r="C520" s="3">
        <v>46223</v>
      </c>
      <c r="D520" s="2">
        <v>0.14930555555555555</v>
      </c>
      <c r="E520" t="str">
        <f t="shared" si="8"/>
        <v>Segment B</v>
      </c>
    </row>
    <row r="521" spans="1:5" x14ac:dyDescent="0.3">
      <c r="A521" t="s">
        <v>187</v>
      </c>
      <c r="B521" t="s">
        <v>6</v>
      </c>
      <c r="C521" s="3">
        <v>46223</v>
      </c>
      <c r="D521" s="2">
        <v>0.17569444444444443</v>
      </c>
      <c r="E521" t="str">
        <f t="shared" si="8"/>
        <v>Segment B</v>
      </c>
    </row>
    <row r="522" spans="1:5" x14ac:dyDescent="0.3">
      <c r="A522" t="s">
        <v>150</v>
      </c>
      <c r="B522" t="s">
        <v>5</v>
      </c>
      <c r="C522" s="3">
        <v>46223</v>
      </c>
      <c r="D522" s="2">
        <v>0.15555555555555556</v>
      </c>
      <c r="E522" t="str">
        <f t="shared" si="8"/>
        <v>Segment B</v>
      </c>
    </row>
    <row r="523" spans="1:5" x14ac:dyDescent="0.3">
      <c r="A523" t="s">
        <v>150</v>
      </c>
      <c r="B523" t="s">
        <v>6</v>
      </c>
      <c r="C523" s="3">
        <v>46223</v>
      </c>
      <c r="D523" s="2">
        <v>0.17430555555555555</v>
      </c>
      <c r="E523" t="str">
        <f t="shared" si="8"/>
        <v>Segment B</v>
      </c>
    </row>
    <row r="524" spans="1:5" x14ac:dyDescent="0.3">
      <c r="A524" t="s">
        <v>202</v>
      </c>
      <c r="B524" t="s">
        <v>5</v>
      </c>
      <c r="C524" s="3">
        <v>46223</v>
      </c>
      <c r="D524" s="2">
        <v>0.1673611111111111</v>
      </c>
      <c r="E524" t="str">
        <f t="shared" si="8"/>
        <v>Segment B</v>
      </c>
    </row>
    <row r="525" spans="1:5" x14ac:dyDescent="0.3">
      <c r="A525" t="s">
        <v>202</v>
      </c>
      <c r="B525" t="s">
        <v>6</v>
      </c>
      <c r="C525" s="3">
        <v>46223</v>
      </c>
      <c r="D525" s="2">
        <v>0.17708333333333334</v>
      </c>
      <c r="E525" t="str">
        <f t="shared" si="8"/>
        <v>Segment B</v>
      </c>
    </row>
    <row r="526" spans="1:5" x14ac:dyDescent="0.3">
      <c r="A526" t="s">
        <v>94</v>
      </c>
      <c r="B526" t="s">
        <v>5</v>
      </c>
      <c r="C526" s="3">
        <v>46223</v>
      </c>
      <c r="D526" s="2">
        <v>0.14722222222222223</v>
      </c>
      <c r="E526" t="str">
        <f t="shared" si="8"/>
        <v>Segment B</v>
      </c>
    </row>
    <row r="527" spans="1:5" x14ac:dyDescent="0.3">
      <c r="A527" t="s">
        <v>94</v>
      </c>
      <c r="B527" t="s">
        <v>6</v>
      </c>
      <c r="C527" s="3">
        <v>46223</v>
      </c>
      <c r="D527" s="2">
        <v>0.17222222222222222</v>
      </c>
      <c r="E527" t="str">
        <f t="shared" si="8"/>
        <v>Segment B</v>
      </c>
    </row>
    <row r="528" spans="1:5" x14ac:dyDescent="0.3">
      <c r="A528" t="s">
        <v>184</v>
      </c>
      <c r="B528" t="s">
        <v>5</v>
      </c>
      <c r="C528" s="3">
        <v>46223</v>
      </c>
      <c r="D528" s="2">
        <v>0.16458333333333333</v>
      </c>
      <c r="E528" t="str">
        <f t="shared" si="8"/>
        <v>Segment B</v>
      </c>
    </row>
    <row r="529" spans="1:5" x14ac:dyDescent="0.3">
      <c r="A529" t="s">
        <v>184</v>
      </c>
      <c r="B529" t="s">
        <v>6</v>
      </c>
      <c r="C529" s="3">
        <v>46223</v>
      </c>
      <c r="D529" s="2">
        <v>0.16805555555555557</v>
      </c>
      <c r="E529" t="str">
        <f t="shared" si="8"/>
        <v>Segment B</v>
      </c>
    </row>
    <row r="530" spans="1:5" x14ac:dyDescent="0.3">
      <c r="A530" t="s">
        <v>54</v>
      </c>
      <c r="B530" t="s">
        <v>5</v>
      </c>
      <c r="C530" s="3">
        <v>46223</v>
      </c>
      <c r="D530" s="2">
        <v>0.16041666666666668</v>
      </c>
      <c r="E530" t="str">
        <f t="shared" si="8"/>
        <v>Segment B</v>
      </c>
    </row>
    <row r="531" spans="1:5" x14ac:dyDescent="0.3">
      <c r="A531" t="s">
        <v>54</v>
      </c>
      <c r="B531" t="s">
        <v>6</v>
      </c>
      <c r="C531" s="3">
        <v>46223</v>
      </c>
      <c r="D531" s="2">
        <v>0.17916666666666667</v>
      </c>
      <c r="E531" t="str">
        <f t="shared" si="8"/>
        <v>Segment B</v>
      </c>
    </row>
    <row r="532" spans="1:5" x14ac:dyDescent="0.3">
      <c r="A532" t="s">
        <v>57</v>
      </c>
      <c r="B532" t="s">
        <v>5</v>
      </c>
      <c r="C532" s="3">
        <v>46223</v>
      </c>
      <c r="D532" s="2">
        <v>0.15416666666666667</v>
      </c>
      <c r="E532" t="str">
        <f t="shared" si="8"/>
        <v>Segment B</v>
      </c>
    </row>
    <row r="533" spans="1:5" x14ac:dyDescent="0.3">
      <c r="A533" t="s">
        <v>57</v>
      </c>
      <c r="B533" t="s">
        <v>6</v>
      </c>
      <c r="C533" s="3">
        <v>46223</v>
      </c>
      <c r="D533" s="2">
        <v>0.17222222222222222</v>
      </c>
      <c r="E533" t="str">
        <f t="shared" si="8"/>
        <v>Segment B</v>
      </c>
    </row>
    <row r="534" spans="1:5" x14ac:dyDescent="0.3">
      <c r="A534" t="s">
        <v>51</v>
      </c>
      <c r="B534" t="s">
        <v>5</v>
      </c>
      <c r="C534" s="3">
        <v>46223</v>
      </c>
      <c r="D534" s="2">
        <v>0.17291666666666666</v>
      </c>
      <c r="E534" t="str">
        <f t="shared" si="8"/>
        <v>Segment B</v>
      </c>
    </row>
    <row r="535" spans="1:5" x14ac:dyDescent="0.3">
      <c r="A535" t="s">
        <v>51</v>
      </c>
      <c r="B535" t="s">
        <v>6</v>
      </c>
      <c r="C535" s="3">
        <v>46223</v>
      </c>
      <c r="D535" s="2">
        <v>0.16666666666666666</v>
      </c>
      <c r="E535" t="str">
        <f t="shared" si="8"/>
        <v>Segment B</v>
      </c>
    </row>
    <row r="536" spans="1:5" x14ac:dyDescent="0.3">
      <c r="A536" t="s">
        <v>197</v>
      </c>
      <c r="B536" t="s">
        <v>5</v>
      </c>
      <c r="C536" s="3">
        <v>46223</v>
      </c>
      <c r="D536" s="2">
        <v>0.16250000000000001</v>
      </c>
      <c r="E536" t="str">
        <f t="shared" si="8"/>
        <v>Segment B</v>
      </c>
    </row>
    <row r="537" spans="1:5" x14ac:dyDescent="0.3">
      <c r="A537" t="s">
        <v>197</v>
      </c>
      <c r="B537" t="s">
        <v>6</v>
      </c>
      <c r="C537" s="3">
        <v>46223</v>
      </c>
      <c r="D537" s="2">
        <v>0.1875</v>
      </c>
      <c r="E537" t="str">
        <f t="shared" si="8"/>
        <v>Segment B</v>
      </c>
    </row>
    <row r="538" spans="1:5" x14ac:dyDescent="0.3">
      <c r="A538" t="s">
        <v>155</v>
      </c>
      <c r="B538" t="s">
        <v>5</v>
      </c>
      <c r="C538" s="3">
        <v>46223</v>
      </c>
      <c r="D538" s="2">
        <v>0.14861111111111111</v>
      </c>
      <c r="E538" t="str">
        <f t="shared" si="8"/>
        <v>Segment B</v>
      </c>
    </row>
    <row r="539" spans="1:5" x14ac:dyDescent="0.3">
      <c r="A539" t="s">
        <v>155</v>
      </c>
      <c r="B539" t="s">
        <v>6</v>
      </c>
      <c r="C539" s="3">
        <v>46223</v>
      </c>
      <c r="D539" s="2">
        <v>0.1736111111111111</v>
      </c>
      <c r="E539" t="str">
        <f t="shared" si="8"/>
        <v>Segment B</v>
      </c>
    </row>
    <row r="540" spans="1:5" x14ac:dyDescent="0.3">
      <c r="A540" t="s">
        <v>193</v>
      </c>
      <c r="B540" t="s">
        <v>5</v>
      </c>
      <c r="C540" s="3">
        <v>46223</v>
      </c>
      <c r="D540" s="2">
        <v>0.16458333333333333</v>
      </c>
      <c r="E540" t="str">
        <f t="shared" si="8"/>
        <v>Segment B</v>
      </c>
    </row>
    <row r="541" spans="1:5" x14ac:dyDescent="0.3">
      <c r="A541" t="s">
        <v>193</v>
      </c>
      <c r="B541" t="s">
        <v>6</v>
      </c>
      <c r="C541" s="3">
        <v>46223</v>
      </c>
      <c r="D541" s="2">
        <v>0.19097222222222221</v>
      </c>
      <c r="E541" t="str">
        <f t="shared" si="8"/>
        <v>Segment B</v>
      </c>
    </row>
    <row r="542" spans="1:5" x14ac:dyDescent="0.3">
      <c r="A542" t="s">
        <v>139</v>
      </c>
      <c r="B542" t="s">
        <v>5</v>
      </c>
      <c r="C542" s="3">
        <v>46223</v>
      </c>
      <c r="D542" s="2">
        <v>0.16597222222222222</v>
      </c>
      <c r="E542" t="str">
        <f t="shared" si="8"/>
        <v>Segment B</v>
      </c>
    </row>
    <row r="543" spans="1:5" x14ac:dyDescent="0.3">
      <c r="A543" t="s">
        <v>139</v>
      </c>
      <c r="B543" t="s">
        <v>6</v>
      </c>
      <c r="C543" s="3">
        <v>46223</v>
      </c>
      <c r="D543" s="2">
        <v>0.16875000000000001</v>
      </c>
      <c r="E543" t="str">
        <f t="shared" si="8"/>
        <v>Segment B</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B52D-D0D2-4AEC-81E7-F0D792C38E9F}">
  <dimension ref="A3:F10"/>
  <sheetViews>
    <sheetView topLeftCell="A2" workbookViewId="0">
      <selection activeCell="F10" sqref="F10"/>
    </sheetView>
  </sheetViews>
  <sheetFormatPr defaultRowHeight="14.4" x14ac:dyDescent="0.3"/>
  <cols>
    <col min="1" max="1" width="18.21875" bestFit="1" customWidth="1"/>
    <col min="2" max="2" width="15.5546875" bestFit="1" customWidth="1"/>
    <col min="3" max="3" width="10" bestFit="1" customWidth="1"/>
    <col min="4" max="4" width="10.77734375" bestFit="1" customWidth="1"/>
    <col min="5" max="6" width="18.88671875" bestFit="1" customWidth="1"/>
    <col min="7" max="201" width="5.33203125" bestFit="1" customWidth="1"/>
    <col min="202" max="202" width="10.77734375" bestFit="1" customWidth="1"/>
  </cols>
  <sheetData>
    <row r="3" spans="1:6" x14ac:dyDescent="0.3">
      <c r="A3" s="5" t="s">
        <v>1</v>
      </c>
      <c r="B3" s="5" t="s">
        <v>221</v>
      </c>
    </row>
    <row r="4" spans="1:6" x14ac:dyDescent="0.3">
      <c r="A4" s="5" t="s">
        <v>0</v>
      </c>
      <c r="B4" t="s">
        <v>222</v>
      </c>
      <c r="C4" t="s">
        <v>223</v>
      </c>
      <c r="D4" t="s">
        <v>220</v>
      </c>
      <c r="E4" t="s">
        <v>224</v>
      </c>
      <c r="F4" t="s">
        <v>225</v>
      </c>
    </row>
    <row r="5" spans="1:6" x14ac:dyDescent="0.3">
      <c r="A5" s="6" t="s">
        <v>5</v>
      </c>
      <c r="B5" s="7">
        <v>100</v>
      </c>
      <c r="C5" s="7">
        <v>100</v>
      </c>
      <c r="D5" s="7">
        <v>200</v>
      </c>
    </row>
    <row r="6" spans="1:6" x14ac:dyDescent="0.3">
      <c r="A6" s="6" t="s">
        <v>7</v>
      </c>
      <c r="B6" s="7">
        <v>100</v>
      </c>
      <c r="C6" s="7">
        <v>50</v>
      </c>
      <c r="D6" s="7">
        <v>150</v>
      </c>
      <c r="E6">
        <f>GETPIVOTDATA("user_id",$A$3,"step","signup_started","Segment  Comparision","Segment A")/GETPIVOTDATA("user_id",$A$3,"step","visited_site","Segment  Comparision","Segment A")</f>
        <v>1</v>
      </c>
      <c r="F6">
        <f>GETPIVOTDATA("user_id",$A$3,"step","signup_started","Segment  Comparision","Segment B")/GETPIVOTDATA("user_id",$A$3,"step","visited_site","Segment  Comparision","Segment B")</f>
        <v>0.5</v>
      </c>
    </row>
    <row r="7" spans="1:6" x14ac:dyDescent="0.3">
      <c r="A7" s="6" t="s">
        <v>6</v>
      </c>
      <c r="B7" s="7">
        <v>46</v>
      </c>
      <c r="C7" s="7">
        <v>50</v>
      </c>
      <c r="D7" s="7">
        <v>96</v>
      </c>
      <c r="E7">
        <f>GETPIVOTDATA("user_id",$A$3,"step","details_filled","Segment  Comparision","Segment A")/GETPIVOTDATA("user_id",$A$3,"step","signup_started","Segment  Comparision","Segment A")</f>
        <v>0.46</v>
      </c>
      <c r="F7">
        <f>GETPIVOTDATA("user_id",$A$3,"step","details_filled","Segment  Comparision","Segment B")/GETPIVOTDATA("user_id",$A$3,"step","signup_started","Segment  Comparision","Segment B")</f>
        <v>1</v>
      </c>
    </row>
    <row r="8" spans="1:6" x14ac:dyDescent="0.3">
      <c r="A8" s="6" t="s">
        <v>8</v>
      </c>
      <c r="B8" s="7">
        <v>52</v>
      </c>
      <c r="C8" s="7"/>
      <c r="D8" s="7">
        <v>52</v>
      </c>
      <c r="E8" s="9" t="s">
        <v>226</v>
      </c>
      <c r="F8">
        <f>GETPIVOTDATA("user_id",$A$3,"step","email_verified","Segment  Comparision","Segment B")/GETPIVOTDATA("user_id",$A$3,"step","details_filled","Segment  Comparision","Segment B")</f>
        <v>0</v>
      </c>
    </row>
    <row r="9" spans="1:6" x14ac:dyDescent="0.3">
      <c r="A9" s="6" t="s">
        <v>9</v>
      </c>
      <c r="B9" s="7">
        <v>2</v>
      </c>
      <c r="C9" s="7">
        <v>42</v>
      </c>
      <c r="D9" s="7">
        <v>44</v>
      </c>
      <c r="E9" s="8">
        <f>GETPIVOTDATA("user_id",$A$3,"step","purchase_completed","Segment  Comparision","Segment A")/GETPIVOTDATA("user_id",$A$3,"step","email_verified","Segment  Comparision","Segment A")</f>
        <v>3.8461538461538464E-2</v>
      </c>
      <c r="F9" t="s">
        <v>226</v>
      </c>
    </row>
    <row r="10" spans="1:6" x14ac:dyDescent="0.3">
      <c r="A10" s="6" t="s">
        <v>220</v>
      </c>
      <c r="B10" s="7">
        <v>300</v>
      </c>
      <c r="C10" s="7">
        <v>242</v>
      </c>
      <c r="D10" s="7">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funnel_events</vt:lpstr>
      <vt:lpstr>Assessment1</vt:lpstr>
      <vt:lpstr>Assessment2</vt:lpstr>
      <vt:lpstr>Segment Compare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Soumik Das</dc:creator>
  <cp:lastModifiedBy>Soumik Das</cp:lastModifiedBy>
  <dcterms:created xsi:type="dcterms:W3CDTF">2026-07-26T22:11:58Z</dcterms:created>
  <dcterms:modified xsi:type="dcterms:W3CDTF">2026-07-26T22:19:20Z</dcterms:modified>
</cp:coreProperties>
</file>